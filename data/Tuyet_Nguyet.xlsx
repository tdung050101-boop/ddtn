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rang tính2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Arial"/>
      <b val="1"/>
      <color theme="1"/>
      <sz val="12"/>
    </font>
    <font/>
    <font>
      <name val="Calibri"/>
      <b val="1"/>
      <color theme="1"/>
      <sz val="13"/>
    </font>
    <font>
      <name val="Arial"/>
      <b val="1"/>
      <color rgb="FFFF0000"/>
      <sz val="12"/>
    </font>
    <font>
      <name val="Calibri"/>
      <b val="1"/>
      <color rgb="FF081B3A"/>
      <sz val="13"/>
    </font>
    <font>
      <name val="Arial"/>
      <b val="1"/>
      <color rgb="FF000000"/>
      <sz val="12"/>
    </font>
    <font>
      <name val="Calibri"/>
      <b val="1"/>
      <color rgb="FF000000"/>
      <sz val="13"/>
    </font>
    <font>
      <name val="Arial"/>
      <color theme="1"/>
    </font>
    <font>
      <name val="Arial"/>
      <color rgb="FFFF0000"/>
    </font>
    <font>
      <name val="Arial"/>
      <b val="1"/>
      <color theme="1"/>
    </font>
  </fonts>
  <fills count="12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7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2" pivotButton="0" quotePrefix="0" xfId="0"/>
    <xf numFmtId="0" fontId="1" fillId="2" borderId="3" applyAlignment="1" pivotButton="0" quotePrefix="0" xfId="0">
      <alignment horizontal="center" vertical="bottom"/>
    </xf>
    <xf numFmtId="0" fontId="1" fillId="2" borderId="4" applyAlignment="1" pivotButton="0" quotePrefix="0" xfId="0">
      <alignment horizontal="center" vertical="bottom"/>
    </xf>
    <xf numFmtId="0" fontId="2" fillId="0" borderId="5" pivotButton="0" quotePrefix="0" xfId="0"/>
    <xf numFmtId="0" fontId="2" fillId="0" borderId="6" pivotButton="0" quotePrefix="0" xfId="0"/>
    <xf numFmtId="0" fontId="1" fillId="2" borderId="6" applyAlignment="1" pivotButton="0" quotePrefix="0" xfId="0">
      <alignment vertical="bottom"/>
    </xf>
    <xf numFmtId="0" fontId="1" fillId="2" borderId="5" applyAlignment="1" pivotButton="0" quotePrefix="0" xfId="0">
      <alignment horizontal="center" vertical="bottom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8" pivotButton="0" quotePrefix="0" xfId="0"/>
    <xf numFmtId="0" fontId="1" fillId="3" borderId="3" applyAlignment="1" pivotButton="0" quotePrefix="0" xfId="0">
      <alignment vertical="bottom"/>
    </xf>
    <xf numFmtId="0" fontId="3" fillId="4" borderId="9" applyAlignment="1" pivotButton="0" quotePrefix="0" xfId="0">
      <alignment vertical="bottom"/>
    </xf>
    <xf numFmtId="0" fontId="1" fillId="4" borderId="3" applyAlignment="1" pivotButton="0" quotePrefix="0" xfId="0">
      <alignment horizontal="center" vertical="bottom"/>
    </xf>
    <xf numFmtId="0" fontId="1" fillId="5" borderId="3" applyAlignment="1" pivotButton="0" quotePrefix="0" xfId="0">
      <alignment vertical="bottom"/>
    </xf>
    <xf numFmtId="0" fontId="4" fillId="5" borderId="3" applyAlignment="1" pivotButton="0" quotePrefix="0" xfId="0">
      <alignment horizontal="center" vertical="bottom"/>
    </xf>
    <xf numFmtId="0" fontId="4" fillId="3" borderId="3" applyAlignment="1" pivotButton="0" quotePrefix="0" xfId="0">
      <alignment horizontal="center" vertical="bottom"/>
    </xf>
    <xf numFmtId="0" fontId="3" fillId="4" borderId="10" applyAlignment="1" pivotButton="0" quotePrefix="0" xfId="0">
      <alignment vertical="bottom"/>
    </xf>
    <xf numFmtId="0" fontId="3" fillId="4" borderId="11" applyAlignment="1" pivotButton="0" quotePrefix="0" xfId="0">
      <alignment vertical="bottom"/>
    </xf>
    <xf numFmtId="0" fontId="1" fillId="6" borderId="3" applyAlignment="1" pivotButton="0" quotePrefix="0" xfId="0">
      <alignment horizontal="center" vertical="bottom"/>
    </xf>
    <xf numFmtId="0" fontId="3" fillId="4" borderId="12" applyAlignment="1" pivotButton="0" quotePrefix="0" xfId="0">
      <alignment vertical="bottom"/>
    </xf>
    <xf numFmtId="0" fontId="1" fillId="6" borderId="6" applyAlignment="1" pivotButton="0" quotePrefix="0" xfId="0">
      <alignment horizontal="center" vertical="bottom"/>
    </xf>
    <xf numFmtId="0" fontId="1" fillId="7" borderId="3" applyAlignment="1" pivotButton="0" quotePrefix="0" xfId="0">
      <alignment horizontal="center" vertical="bottom"/>
    </xf>
    <xf numFmtId="0" fontId="1" fillId="8" borderId="3" applyAlignment="1" pivotButton="0" quotePrefix="0" xfId="0">
      <alignment horizontal="center" vertical="bottom"/>
    </xf>
    <xf numFmtId="0" fontId="1" fillId="9" borderId="3" applyAlignment="1" pivotButton="0" quotePrefix="0" xfId="0">
      <alignment horizontal="center" vertical="bottom"/>
    </xf>
    <xf numFmtId="0" fontId="1" fillId="10" borderId="3" applyAlignment="1" pivotButton="0" quotePrefix="0" xfId="0">
      <alignment horizontal="center" vertical="bottom"/>
    </xf>
    <xf numFmtId="0" fontId="5" fillId="4" borderId="0" pivotButton="0" quotePrefix="0" xfId="0"/>
    <xf numFmtId="0" fontId="6" fillId="3" borderId="13" pivotButton="0" quotePrefix="0" xfId="0"/>
    <xf numFmtId="0" fontId="7" fillId="4" borderId="12" pivotButton="0" quotePrefix="0" xfId="0"/>
    <xf numFmtId="0" fontId="1" fillId="5" borderId="6" applyAlignment="1" pivotButton="0" quotePrefix="0" xfId="0">
      <alignment vertical="bottom"/>
    </xf>
    <xf numFmtId="0" fontId="6" fillId="3" borderId="14" pivotButton="0" quotePrefix="0" xfId="0"/>
    <xf numFmtId="0" fontId="7" fillId="4" borderId="0" pivotButton="0" quotePrefix="0" xfId="0"/>
    <xf numFmtId="0" fontId="6" fillId="3" borderId="3" pivotButton="0" quotePrefix="0" xfId="0"/>
    <xf numFmtId="0" fontId="1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2" pivotButton="0" quotePrefix="0" xfId="0"/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17" pivotButton="0" quotePrefix="0" xfId="0"/>
    <xf numFmtId="0" fontId="2" fillId="0" borderId="18" pivotButton="0" quotePrefix="0" xfId="0"/>
    <xf numFmtId="0" fontId="2" fillId="0" borderId="7" pivotButton="0" quotePrefix="0" xfId="0"/>
    <xf numFmtId="0" fontId="4" fillId="2" borderId="3" applyAlignment="1" pivotButton="0" quotePrefix="0" xfId="0">
      <alignment horizontal="center" vertical="bottom"/>
    </xf>
    <xf numFmtId="0" fontId="1" fillId="0" borderId="4" applyAlignment="1" pivotButton="0" quotePrefix="0" xfId="0">
      <alignment horizontal="center"/>
    </xf>
    <xf numFmtId="0" fontId="1" fillId="0" borderId="3" pivotButton="0" quotePrefix="0" xfId="0"/>
    <xf numFmtId="0" fontId="1" fillId="0" borderId="4" pivotButton="0" quotePrefix="0" xfId="0"/>
    <xf numFmtId="0" fontId="1" fillId="0" borderId="3" applyAlignment="1" pivotButton="0" quotePrefix="0" xfId="0">
      <alignment vertical="bottom"/>
    </xf>
    <xf numFmtId="0" fontId="8" fillId="11" borderId="0" applyAlignment="1" pivotButton="0" quotePrefix="0" xfId="0">
      <alignment vertical="bottom"/>
    </xf>
    <xf numFmtId="0" fontId="8" fillId="4" borderId="17" applyAlignment="1" pivotButton="0" quotePrefix="0" xfId="0">
      <alignment horizontal="center" vertical="bottom"/>
    </xf>
    <xf numFmtId="0" fontId="8" fillId="4" borderId="7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8" fillId="4" borderId="4" applyAlignment="1" pivotButton="0" quotePrefix="0" xfId="0">
      <alignment horizontal="center" vertical="bottom"/>
    </xf>
    <xf numFmtId="0" fontId="9" fillId="4" borderId="7" applyAlignment="1" pivotButton="0" quotePrefix="0" xfId="0">
      <alignment horizontal="center" vertical="bottom"/>
    </xf>
    <xf numFmtId="0" fontId="10" fillId="4" borderId="1" applyAlignment="1" pivotButton="0" quotePrefix="0" xfId="0">
      <alignment horizontal="center"/>
    </xf>
    <xf numFmtId="0" fontId="8" fillId="4" borderId="3" applyAlignment="1" pivotButton="0" quotePrefix="0" xfId="0">
      <alignment vertical="bottom"/>
    </xf>
    <xf numFmtId="0" fontId="10" fillId="4" borderId="15" pivotButton="0" quotePrefix="0" xfId="0"/>
    <xf numFmtId="0" fontId="2" fillId="0" borderId="19" pivotButton="0" quotePrefix="0" xfId="0"/>
    <xf numFmtId="0" fontId="9" fillId="4" borderId="3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2" borderId="6" applyAlignment="1" pivotButton="0" quotePrefix="0" xfId="0">
      <alignment horizontal="center" vertical="bottom"/>
    </xf>
    <xf numFmtId="0" fontId="0" fillId="0" borderId="8" pivotButton="0" quotePrefix="0" xfId="0"/>
    <xf numFmtId="0" fontId="1" fillId="0" borderId="3" applyAlignment="1" pivotButton="0" quotePrefix="0" xfId="0">
      <alignment horizontal="center"/>
    </xf>
    <xf numFmtId="0" fontId="0" fillId="0" borderId="16" pivotButton="0" quotePrefix="0" xfId="0"/>
    <xf numFmtId="0" fontId="0" fillId="0" borderId="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7" pivotButton="0" quotePrefix="0" xfId="0"/>
    <xf numFmtId="0" fontId="8" fillId="4" borderId="8" applyAlignment="1" pivotButton="0" quotePrefix="0" xfId="0">
      <alignment horizontal="center" vertical="bottom"/>
    </xf>
    <xf numFmtId="0" fontId="8" fillId="4" borderId="3" applyAlignment="1" pivotButton="0" quotePrefix="0" xfId="0">
      <alignment horizontal="center" vertical="bottom"/>
    </xf>
    <xf numFmtId="0" fontId="10" fillId="4" borderId="3" applyAlignment="1" pivotButton="0" quotePrefix="0" xfId="0">
      <alignment horizontal="center"/>
    </xf>
    <xf numFmtId="0" fontId="10" fillId="4" borderId="3" pivotButton="0" quotePrefix="0" xfId="0"/>
    <xf numFmtId="0" fontId="0" fillId="0" borderId="19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 defaultTableStyle="TableStyleMedium9" defaultPivotStyle="PivotStyleLight16">
    <tableStyle name="Trang tính2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1" displayName="Table_1" ref="AC3:AC74" headerRowCount="0">
  <tableColumns count="1">
    <tableColumn id="1" name="Column1"/>
  </tableColumns>
  <tableStyleInfo name="Trang tính2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317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62" min="1" max="1"/>
    <col width="41.25" customWidth="1" style="62" min="2" max="2"/>
    <col width="12.63" customWidth="1" style="62" min="3" max="7"/>
    <col width="15" customWidth="1" style="62" min="28" max="28"/>
    <col width="11.88" customWidth="1" style="62" min="29" max="29"/>
  </cols>
  <sheetData>
    <row r="1">
      <c r="A1" s="1" t="n"/>
      <c r="B1" s="1" t="inlineStr">
        <is>
          <t> </t>
        </is>
      </c>
      <c r="C1" s="2" t="n"/>
      <c r="D1" s="3" t="n"/>
      <c r="E1" s="3" t="inlineStr">
        <is>
          <t>Thứ 2</t>
        </is>
      </c>
      <c r="F1" s="63" t="n"/>
      <c r="G1" s="64" t="n"/>
      <c r="H1" s="7" t="n"/>
      <c r="I1" s="65" t="inlineStr">
        <is>
          <t>Thứ 3</t>
        </is>
      </c>
      <c r="J1" s="63" t="n"/>
      <c r="K1" s="64" t="n"/>
      <c r="L1" s="65" t="inlineStr">
        <is>
          <t>Thứ 4</t>
        </is>
      </c>
      <c r="M1" s="63" t="n"/>
      <c r="N1" s="64" t="n"/>
      <c r="O1" s="65" t="inlineStr">
        <is>
          <t>Thứ 5</t>
        </is>
      </c>
      <c r="P1" s="63" t="n"/>
      <c r="Q1" s="63" t="n"/>
      <c r="R1" s="64" t="n"/>
      <c r="S1" s="65" t="inlineStr">
        <is>
          <t>Thứ 6</t>
        </is>
      </c>
      <c r="T1" s="63" t="n"/>
      <c r="U1" s="64" t="n"/>
      <c r="V1" s="65" t="inlineStr">
        <is>
          <t>Thứ Bảy</t>
        </is>
      </c>
      <c r="W1" s="63" t="n"/>
      <c r="X1" s="63" t="n"/>
      <c r="Y1" s="64" t="n"/>
      <c r="Z1" s="65" t="inlineStr">
        <is>
          <t>Chủ Nhật</t>
        </is>
      </c>
      <c r="AA1" s="63" t="n"/>
      <c r="AB1" s="64" t="n"/>
      <c r="AC1" s="1" t="n"/>
      <c r="AD1" s="12" t="inlineStr">
        <is>
          <t>Số KNB
 Được Nhận</t>
        </is>
      </c>
    </row>
    <row r="2">
      <c r="A2" s="10" t="inlineStr">
        <is>
          <t>STT</t>
        </is>
      </c>
      <c r="B2" s="10" t="inlineStr">
        <is>
          <t>Tên Nhân Vật</t>
        </is>
      </c>
      <c r="C2" s="11" t="inlineStr">
        <is>
          <t>Môn phái</t>
        </is>
      </c>
      <c r="D2" s="12" t="n"/>
      <c r="E2" s="13" t="inlineStr">
        <is>
          <t>BOSS 12H</t>
        </is>
      </c>
      <c r="F2" s="13" t="inlineStr">
        <is>
          <t>TIÊU 8H</t>
        </is>
      </c>
      <c r="G2" s="13" t="inlineStr">
        <is>
          <t>BOSS 10H</t>
        </is>
      </c>
      <c r="H2" s="13" t="inlineStr">
        <is>
          <t>Liên Đài</t>
        </is>
      </c>
      <c r="I2" s="13" t="inlineStr">
        <is>
          <t>BOSS 12H</t>
        </is>
      </c>
      <c r="J2" s="13" t="inlineStr">
        <is>
          <t>TIÊU 8H</t>
        </is>
      </c>
      <c r="K2" s="13" t="inlineStr">
        <is>
          <t>BOS 10H</t>
        </is>
      </c>
      <c r="L2" s="13" t="inlineStr">
        <is>
          <t>BOSS 12H</t>
        </is>
      </c>
      <c r="M2" s="13" t="inlineStr">
        <is>
          <t>TIÊU 8H</t>
        </is>
      </c>
      <c r="N2" s="13" t="inlineStr">
        <is>
          <t>BOSS 10H</t>
        </is>
      </c>
      <c r="O2" s="13" t="inlineStr">
        <is>
          <t>BOSS 12H</t>
        </is>
      </c>
      <c r="P2" s="13" t="inlineStr">
        <is>
          <t>TIÊU 8H</t>
        </is>
      </c>
      <c r="Q2" s="13" t="inlineStr">
        <is>
          <t>BOSS 22H</t>
        </is>
      </c>
      <c r="R2" s="13" t="inlineStr">
        <is>
          <t>Liên Đài</t>
        </is>
      </c>
      <c r="S2" s="13" t="inlineStr">
        <is>
          <t>BOSS 12H</t>
        </is>
      </c>
      <c r="T2" s="13" t="inlineStr">
        <is>
          <t>Tiêu 8h</t>
        </is>
      </c>
      <c r="U2" s="13" t="inlineStr">
        <is>
          <t>Boss 22h</t>
        </is>
      </c>
      <c r="V2" s="13" t="inlineStr">
        <is>
          <t>BOSS 12H</t>
        </is>
      </c>
      <c r="W2" s="13" t="inlineStr">
        <is>
          <t>TIÊU 8H</t>
        </is>
      </c>
      <c r="X2" s="13" t="inlineStr">
        <is>
          <t>BOSS 22H</t>
        </is>
      </c>
      <c r="Y2" s="13" t="inlineStr">
        <is>
          <t>CTC</t>
        </is>
      </c>
      <c r="Z2" s="13" t="inlineStr">
        <is>
          <t>BOSS 12H</t>
        </is>
      </c>
      <c r="AA2" s="13" t="inlineStr">
        <is>
          <t>BOSS 22H</t>
        </is>
      </c>
      <c r="AB2" s="13" t="inlineStr">
        <is>
          <t>TIÊU 8H</t>
        </is>
      </c>
      <c r="AC2" s="10" t="inlineStr">
        <is>
          <t>Số HĐ Từng Thành Viên</t>
        </is>
      </c>
      <c r="AD2" s="66" t="n"/>
    </row>
    <row r="3">
      <c r="A3" s="15" t="n">
        <v>1</v>
      </c>
      <c r="B3" s="16" t="inlineStr">
        <is>
          <t>Tuấn- elizabeo</t>
        </is>
      </c>
      <c r="C3" s="17" t="inlineStr">
        <is>
          <t>TVB</t>
        </is>
      </c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9">
        <f>sum(E3:AB3)</f>
        <v/>
      </c>
      <c r="AD3" s="20">
        <f>ROUNDDOWN(IF($C$83&gt;0,$C$83/$AC$76*AC3,0),0)</f>
        <v/>
      </c>
    </row>
    <row r="4">
      <c r="A4" s="15" t="n">
        <v>2</v>
      </c>
      <c r="B4" s="16" t="inlineStr">
        <is>
          <t>TC - 1danh2chay</t>
        </is>
      </c>
      <c r="C4" s="17" t="inlineStr">
        <is>
          <t>TVB</t>
        </is>
      </c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9">
        <f>sum(E4:AB4)</f>
        <v/>
      </c>
      <c r="AD4" s="20">
        <f>ROUNDDOWN(IF($C$83&gt;0,$C$83/$AC$76*AC4,0),0)</f>
        <v/>
      </c>
    </row>
    <row r="5">
      <c r="A5" s="15" t="n">
        <v>3</v>
      </c>
      <c r="B5" s="16" t="inlineStr">
        <is>
          <t>MINH KHÔI- 1ĐaoĐoạtHồn</t>
        </is>
      </c>
      <c r="C5" s="17" t="inlineStr">
        <is>
          <t>TVB</t>
        </is>
      </c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9">
        <f>sum(E5:AB5)</f>
        <v/>
      </c>
      <c r="AD5" s="20">
        <f>ROUNDDOWN(IF($C$83&gt;0,$C$83/$AC$76*AC5,0),0)</f>
        <v/>
      </c>
    </row>
    <row r="6">
      <c r="A6" s="15" t="n">
        <v>4</v>
      </c>
      <c r="B6" s="16" t="inlineStr">
        <is>
          <t>Tiến Thành - STxNgaoThien</t>
        </is>
      </c>
      <c r="C6" s="17" t="inlineStr">
        <is>
          <t>TVB</t>
        </is>
      </c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9">
        <f>sum(E6:AB6)</f>
        <v/>
      </c>
      <c r="AD6" s="20">
        <f>ROUNDDOWN(IF($C$83&gt;0,$C$83/$AC$76*AC6,0),0)</f>
        <v/>
      </c>
    </row>
    <row r="7">
      <c r="A7" s="15" t="n">
        <v>5</v>
      </c>
      <c r="B7" s="21" t="inlineStr">
        <is>
          <t>Trầnminh - StxShank</t>
        </is>
      </c>
      <c r="C7" s="17" t="inlineStr">
        <is>
          <t>TVB</t>
        </is>
      </c>
      <c r="D7" s="18" t="n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9">
        <f>sum(E7:AB7)</f>
        <v/>
      </c>
      <c r="AD7" s="20">
        <f>ROUNDDOWN(IF($C$83&gt;0,$C$83/$AC$76*AC7,0),0)</f>
        <v/>
      </c>
    </row>
    <row r="8">
      <c r="A8" s="15" t="n">
        <v>6</v>
      </c>
      <c r="B8" s="16" t="inlineStr">
        <is>
          <t>San Tro- San Tro</t>
        </is>
      </c>
      <c r="C8" s="17" t="inlineStr">
        <is>
          <t>TVB</t>
        </is>
      </c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9">
        <f>sum(E8:AB8)</f>
        <v/>
      </c>
      <c r="AD8" s="20">
        <f>ROUNDDOWN(IF($C$83&gt;0,$C$83/$AC$76*AC8,0),0)</f>
        <v/>
      </c>
    </row>
    <row r="9">
      <c r="A9" s="15" t="n">
        <v>7</v>
      </c>
      <c r="B9" s="16" t="inlineStr">
        <is>
          <t>T Nguyễn - ANH4CAK</t>
        </is>
      </c>
      <c r="C9" s="17" t="inlineStr">
        <is>
          <t>TL</t>
        </is>
      </c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9">
        <f>sum(E9:AB9)</f>
        <v/>
      </c>
      <c r="AD9" s="20">
        <f>ROUNDDOWN(IF($C$83&gt;0,$C$83/$AC$76*AC9,0),0)</f>
        <v/>
      </c>
    </row>
    <row r="10">
      <c r="A10" s="15" t="n">
        <v>8</v>
      </c>
      <c r="B10" s="22" t="inlineStr">
        <is>
          <t>Văn Đạt- SSatthan</t>
        </is>
      </c>
      <c r="C10" s="17" t="inlineStr">
        <is>
          <t>TL</t>
        </is>
      </c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9">
        <f>sum(E10:AB10)</f>
        <v/>
      </c>
      <c r="AD10" s="20">
        <f>ROUNDDOWN(IF($C$83&gt;0,$C$83/$AC$76*AC10,0),0)</f>
        <v/>
      </c>
    </row>
    <row r="11">
      <c r="A11" s="15" t="n">
        <v>9</v>
      </c>
      <c r="B11" s="16" t="inlineStr">
        <is>
          <t>Huy Đỗ- NhồiMáuCơTim</t>
        </is>
      </c>
      <c r="C11" s="23" t="inlineStr">
        <is>
          <t>DM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9">
        <f>sum(E11:AB11)</f>
        <v/>
      </c>
      <c r="AD11" s="20">
        <f>ROUNDDOWN(IF($C$83&gt;0,$C$83/$AC$76*AC11,0),0)</f>
        <v/>
      </c>
    </row>
    <row r="12">
      <c r="A12" s="15" t="n">
        <v>10</v>
      </c>
      <c r="B12" s="16" t="inlineStr">
        <is>
          <t>Phongt -SBTC-TGC</t>
        </is>
      </c>
      <c r="C12" s="23" t="inlineStr">
        <is>
          <t>DM</t>
        </is>
      </c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9">
        <f>sum(E12:AB12)</f>
        <v/>
      </c>
      <c r="AD12" s="20">
        <f>ROUNDDOWN(IF($C$83&gt;0,$C$83/$AC$76*AC12,0),0)</f>
        <v/>
      </c>
    </row>
    <row r="13">
      <c r="A13" s="15" t="n">
        <v>11</v>
      </c>
      <c r="B13" s="16" t="inlineStr">
        <is>
          <t>Nhất Nam - 15cm</t>
        </is>
      </c>
      <c r="C13" s="23" t="inlineStr">
        <is>
          <t>DM</t>
        </is>
      </c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9">
        <f>sum(E13:AB13)</f>
        <v/>
      </c>
      <c r="AD13" s="20">
        <f>ROUNDDOWN(IF($C$83&gt;0,$C$83/$AC$76*AC13,0),0)</f>
        <v/>
      </c>
    </row>
    <row r="14">
      <c r="A14" s="15" t="n">
        <v>12</v>
      </c>
      <c r="B14" s="16" t="inlineStr">
        <is>
          <t>Thành Lê- Béokk</t>
        </is>
      </c>
      <c r="C14" s="23" t="inlineStr">
        <is>
          <t>DM</t>
        </is>
      </c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9">
        <f>sum(E14:AB14)</f>
        <v/>
      </c>
      <c r="AD14" s="20">
        <f>ROUNDDOWN(IF($C$83&gt;0,$C$83/$AC$76*AC14,0),0)</f>
        <v/>
      </c>
    </row>
    <row r="15">
      <c r="A15" s="15" t="n">
        <v>13</v>
      </c>
      <c r="B15" s="22" t="inlineStr">
        <is>
          <t>Hoà Phan-BABIPY</t>
        </is>
      </c>
      <c r="C15" s="23" t="inlineStr">
        <is>
          <t>DM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9">
        <f>sum(E15:AB15)</f>
        <v/>
      </c>
      <c r="AD15" s="20">
        <f>ROUNDDOWN(IF($C$83&gt;0,$C$83/$AC$76*AC15,0),0)</f>
        <v/>
      </c>
    </row>
    <row r="16">
      <c r="A16" s="15" t="n">
        <v>14</v>
      </c>
      <c r="B16" s="24" t="inlineStr">
        <is>
          <t>Phi Hải -  A HYRE</t>
        </is>
      </c>
      <c r="C16" s="25" t="inlineStr">
        <is>
          <t>DM</t>
        </is>
      </c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9">
        <f>sum(E16:AB16)</f>
        <v/>
      </c>
      <c r="AD16" s="20">
        <f>ROUNDDOWN(IF($C$83&gt;0,$C$83/$AC$76*AC16,0),0)</f>
        <v/>
      </c>
    </row>
    <row r="17">
      <c r="A17" s="15" t="n">
        <v>15</v>
      </c>
      <c r="B17" s="24" t="inlineStr">
        <is>
          <t>Công - Thập Phong</t>
        </is>
      </c>
      <c r="C17" s="25" t="inlineStr">
        <is>
          <t>DM</t>
        </is>
      </c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9">
        <f>sum(E17:AB17)</f>
        <v/>
      </c>
      <c r="AD17" s="20">
        <f>ROUNDDOWN(IF($C$83&gt;0,$C$83/$AC$76*AC17,0),0)</f>
        <v/>
      </c>
    </row>
    <row r="18">
      <c r="A18" s="15" t="n">
        <v>16</v>
      </c>
      <c r="B18" s="22" t="inlineStr">
        <is>
          <t>Tong - StxZed</t>
        </is>
      </c>
      <c r="C18" s="23" t="inlineStr">
        <is>
          <t>DM</t>
        </is>
      </c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9">
        <f>sum(E18:AB18)</f>
        <v/>
      </c>
      <c r="AD18" s="20">
        <f>ROUNDDOWN(IF($C$83&gt;0,$C$83/$AC$76*AC18,0),0)</f>
        <v/>
      </c>
    </row>
    <row r="19">
      <c r="A19" s="15" t="n">
        <v>17</v>
      </c>
      <c r="B19" s="16" t="inlineStr">
        <is>
          <t>Phúc Lộc Thọ - ANMAY</t>
        </is>
      </c>
      <c r="C19" s="23" t="inlineStr">
        <is>
          <t>DM</t>
        </is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9">
        <f>sum(E19:AB19)</f>
        <v/>
      </c>
      <c r="AD19" s="20">
        <f>ROUNDDOWN(IF($C$83&gt;0,$C$83/$AC$76*AC19,0),0)</f>
        <v/>
      </c>
    </row>
    <row r="20">
      <c r="A20" s="15" t="n">
        <v>18</v>
      </c>
      <c r="B20" s="16" t="inlineStr">
        <is>
          <t>Lữ Đạt - LệPhiVũ</t>
        </is>
      </c>
      <c r="C20" s="23" t="inlineStr">
        <is>
          <t>5DOC</t>
        </is>
      </c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9">
        <f>sum(E20:AB20)</f>
        <v/>
      </c>
      <c r="AD20" s="20">
        <f>ROUNDDOWN(IF($C$83&gt;0,$C$83/$AC$76*AC20,0),0)</f>
        <v/>
      </c>
    </row>
    <row r="21" ht="15.75" customHeight="1" s="62">
      <c r="A21" s="15" t="n">
        <v>19</v>
      </c>
      <c r="B21" s="16" t="inlineStr">
        <is>
          <t>Phạm HÀ - Quang Hà</t>
        </is>
      </c>
      <c r="C21" s="26" t="inlineStr">
        <is>
          <t>TYD</t>
        </is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9">
        <f>sum(E21:AB21)</f>
        <v/>
      </c>
      <c r="AD21" s="20">
        <f>ROUNDDOWN(IF($C$83&gt;0,$C$83/$AC$76*AC21,0),0)</f>
        <v/>
      </c>
    </row>
    <row r="22" ht="15.75" customHeight="1" s="62">
      <c r="A22" s="15" t="n">
        <v>20</v>
      </c>
      <c r="B22" s="16" t="inlineStr">
        <is>
          <t>Rôn- SUPERGOLD</t>
        </is>
      </c>
      <c r="C22" s="27" t="inlineStr">
        <is>
          <t>TYD</t>
        </is>
      </c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9">
        <f>sum(E22:AB22)</f>
        <v/>
      </c>
      <c r="AD22" s="20">
        <f>ROUNDDOWN(IF($C$83&gt;0,$C$83/$AC$76*AC22,0),0)</f>
        <v/>
      </c>
    </row>
    <row r="23" ht="15.75" customHeight="1" s="62">
      <c r="A23" s="15" t="n">
        <v>21</v>
      </c>
      <c r="B23" s="16" t="inlineStr">
        <is>
          <t>Chánh Huy- zPháQuânz</t>
        </is>
      </c>
      <c r="C23" s="27" t="inlineStr">
        <is>
          <t>TYD</t>
        </is>
      </c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9">
        <f>sum(E23:AB23)</f>
        <v/>
      </c>
      <c r="AD23" s="20">
        <f>ROUNDDOWN(IF($C$83&gt;0,$C$83/$AC$76*AC23,0),0)</f>
        <v/>
      </c>
    </row>
    <row r="24" ht="15.75" customHeight="1" s="62">
      <c r="A24" s="15" t="n">
        <v>22</v>
      </c>
      <c r="B24" s="22" t="inlineStr">
        <is>
          <t>Vũ Luân- Lamgiaochu</t>
        </is>
      </c>
      <c r="C24" s="27" t="inlineStr">
        <is>
          <t>TYSD</t>
        </is>
      </c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9">
        <f>sum(E24:AB24)</f>
        <v/>
      </c>
      <c r="AD24" s="20">
        <f>ROUNDDOWN(IF($C$83&gt;0,$C$83/$AC$76*AC24,0),0)</f>
        <v/>
      </c>
    </row>
    <row r="25" ht="15.75" customHeight="1" s="62">
      <c r="A25" s="15" t="n">
        <v>23</v>
      </c>
      <c r="B25" s="16" t="inlineStr">
        <is>
          <t>Khanh Dang - Công Chúa Đá</t>
        </is>
      </c>
      <c r="C25" s="27" t="inlineStr">
        <is>
          <t>TYD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9">
        <f>sum(E25:AB25)</f>
        <v/>
      </c>
      <c r="AD25" s="20">
        <f>ROUNDDOWN(IF($C$83&gt;0,$C$83/$AC$76*AC25,0),0)</f>
        <v/>
      </c>
    </row>
    <row r="26" ht="15.75" customHeight="1" s="62">
      <c r="A26" s="15" t="n">
        <v>24</v>
      </c>
      <c r="B26" s="22" t="inlineStr">
        <is>
          <t>Vit- dauxanh</t>
        </is>
      </c>
      <c r="C26" s="27" t="inlineStr">
        <is>
          <t>NM</t>
        </is>
      </c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9">
        <f>sum(E26:AB26)</f>
        <v/>
      </c>
      <c r="AD26" s="20">
        <f>ROUNDDOWN(IF($C$83&gt;0,$C$83/$AC$76*AC26,0),0)</f>
        <v/>
      </c>
    </row>
    <row r="27" ht="15.75" customHeight="1" s="62">
      <c r="A27" s="15" t="n">
        <v>25</v>
      </c>
      <c r="B27" s="16" t="inlineStr">
        <is>
          <t>TrânHa - Stx114</t>
        </is>
      </c>
      <c r="C27" s="27" t="inlineStr">
        <is>
          <t>NM</t>
        </is>
      </c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9">
        <f>sum(E27:AB27)</f>
        <v/>
      </c>
      <c r="AD27" s="20">
        <f>ROUNDDOWN(IF($C$83&gt;0,$C$83/$AC$76*AC27,0),0)</f>
        <v/>
      </c>
    </row>
    <row r="28" ht="15.75" customHeight="1" s="62">
      <c r="A28" s="15" t="n">
        <v>26</v>
      </c>
      <c r="B28" s="16" t="inlineStr">
        <is>
          <t>Go- Chị5Bướm</t>
        </is>
      </c>
      <c r="C28" s="28" t="inlineStr">
        <is>
          <t>TN</t>
        </is>
      </c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9">
        <f>sum(E28:AB28)</f>
        <v/>
      </c>
      <c r="AD28" s="20">
        <f>ROUNDDOWN(IF($C$83&gt;0,$C$83/$AC$76*AC28,0),0)</f>
        <v/>
      </c>
    </row>
    <row r="29" ht="15.75" customHeight="1" s="62">
      <c r="A29" s="15" t="n">
        <v>27</v>
      </c>
      <c r="B29" s="16" t="inlineStr">
        <is>
          <t>Đại ca - Ku e chaitim</t>
        </is>
      </c>
      <c r="C29" s="28" t="inlineStr">
        <is>
          <t>CBR</t>
        </is>
      </c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9">
        <f>sum(E29:AB29)</f>
        <v/>
      </c>
      <c r="AD29" s="20">
        <f>ROUNDDOWN(IF($C$83&gt;0,$C$83/$AC$76*AC29,0),0)</f>
        <v/>
      </c>
    </row>
    <row r="30" ht="15.75" customHeight="1" s="62">
      <c r="A30" s="15" t="n">
        <v>28</v>
      </c>
      <c r="B30" s="16" t="inlineStr">
        <is>
          <t>Nguyễn Lộc - Hạc Lão</t>
        </is>
      </c>
      <c r="C30" s="29" t="inlineStr">
        <is>
          <t>CLS</t>
        </is>
      </c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9">
        <f>sum(E30:AB30)</f>
        <v/>
      </c>
      <c r="AD30" s="20">
        <f>ROUNDDOWN(IF($C$83&gt;0,$C$83/$AC$76*AC30,0),0)</f>
        <v/>
      </c>
    </row>
    <row r="31" ht="15.75" customHeight="1" s="62">
      <c r="A31" s="15" t="n">
        <v>29</v>
      </c>
      <c r="B31" s="16" t="inlineStr">
        <is>
          <t>Minh Thành- Chị3Zú</t>
        </is>
      </c>
      <c r="C31" s="29" t="inlineStr">
        <is>
          <t>CLS</t>
        </is>
      </c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9">
        <f>sum(E31:AB31)</f>
        <v/>
      </c>
      <c r="AD31" s="20">
        <f>ROUNDDOWN(IF($C$83&gt;0,$C$83/$AC$76*AC31,0),0)</f>
        <v/>
      </c>
    </row>
    <row r="32" ht="15.75" customHeight="1" s="62">
      <c r="A32" s="15" t="n">
        <v>30</v>
      </c>
      <c r="B32" s="16" t="inlineStr">
        <is>
          <t>Manifest- manifest</t>
        </is>
      </c>
      <c r="C32" s="29" t="inlineStr">
        <is>
          <t>CLS</t>
        </is>
      </c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9">
        <f>sum(E32:AB32)</f>
        <v/>
      </c>
      <c r="AD32" s="20">
        <f>ROUNDDOWN(IF($C$83&gt;0,$C$83/$AC$76*AC32,0),0)</f>
        <v/>
      </c>
    </row>
    <row r="33" ht="15.75" customHeight="1" s="62">
      <c r="A33" s="15" t="n">
        <v>31</v>
      </c>
      <c r="B33" s="22" t="inlineStr">
        <is>
          <t>Lâm Nguyễn - Luxubu</t>
        </is>
      </c>
      <c r="C33" s="23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9">
        <f>sum(E33:AB33)</f>
        <v/>
      </c>
      <c r="AD33" s="20">
        <f>ROUNDDOWN(IF($C$83&gt;0,$C$83/$AC$76*AC33,0),0)</f>
        <v/>
      </c>
    </row>
    <row r="34" ht="15.75" customHeight="1" s="62">
      <c r="A34" s="15" t="n">
        <v>32</v>
      </c>
      <c r="B34" s="30" t="inlineStr">
        <is>
          <t>Trần phương - xX Tôn Lò Xx</t>
        </is>
      </c>
      <c r="C34" s="31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9">
        <f>sum(E34:AB34)</f>
        <v/>
      </c>
      <c r="AD34" s="20">
        <f>ROUNDDOWN(IF($C$83&gt;0,$C$83/$AC$76*AC34,0),0)</f>
        <v/>
      </c>
    </row>
    <row r="35" ht="15.75" customHeight="1" s="62">
      <c r="A35" s="15" t="n">
        <v>33</v>
      </c>
      <c r="B35" s="32" t="inlineStr">
        <is>
          <t>Ng Tiến Dũng - Dư Đấu</t>
        </is>
      </c>
      <c r="C35" s="31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9">
        <f>sum(E35:AB35)</f>
        <v/>
      </c>
      <c r="AD35" s="20">
        <f>ROUNDDOWN(IF($C$83&gt;0,$C$83/$AC$76*AC35,0),0)</f>
        <v/>
      </c>
    </row>
    <row r="36" ht="15.75" customHeight="1" s="62">
      <c r="A36" s="15" t="n">
        <v>34</v>
      </c>
      <c r="B36" s="32" t="inlineStr">
        <is>
          <t>Lâm Trọng Nhân - Pé Thơm</t>
        </is>
      </c>
      <c r="C36" s="31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9">
        <f>sum(E36:AB36)</f>
        <v/>
      </c>
      <c r="AD36" s="20">
        <f>ROUNDDOWN(IF($C$83&gt;0,$C$83/$AC$76*AC36,0),0)</f>
        <v/>
      </c>
    </row>
    <row r="37" ht="15.75" customHeight="1" s="62">
      <c r="A37" s="15" t="n">
        <v>35</v>
      </c>
      <c r="B37" s="32" t="inlineStr">
        <is>
          <t xml:space="preserve"> Lâm Trọng Nghĩa - Bé Pự Peru</t>
        </is>
      </c>
      <c r="C37" s="31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9">
        <f>sum(E37:AB37)</f>
        <v/>
      </c>
      <c r="AD37" s="20">
        <f>ROUNDDOWN(IF($C$83&gt;0,$C$83/$AC$76*AC37,0),0)</f>
        <v/>
      </c>
    </row>
    <row r="38" ht="15.75" customHeight="1" s="62">
      <c r="A38" s="15" t="n">
        <v>36</v>
      </c>
      <c r="B38" s="32" t="inlineStr">
        <is>
          <t>Nguyễn Văn Anh - Bảo Châu</t>
        </is>
      </c>
      <c r="C38" s="31" t="n"/>
      <c r="D38" s="18" t="n"/>
      <c r="E38" s="18" t="n"/>
      <c r="F38" s="18" t="n"/>
      <c r="G38" s="18" t="n"/>
      <c r="H38" s="18" t="n">
        <v>1</v>
      </c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9">
        <f>sum(E38:AB38)</f>
        <v/>
      </c>
      <c r="AD38" s="20">
        <f>ROUNDDOWN(IF($C$83&gt;0,$C$83/$AC$76*AC38,0),0)</f>
        <v/>
      </c>
    </row>
    <row r="39" ht="15.75" customHeight="1" s="62">
      <c r="A39" s="15" t="n">
        <v>37</v>
      </c>
      <c r="B39" s="32" t="inlineStr">
        <is>
          <t>Thắng - MẠNH THIÊN CHÍNH</t>
        </is>
      </c>
      <c r="C39" s="31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9">
        <f>sum(E39:AB39)</f>
        <v/>
      </c>
      <c r="AD39" s="20">
        <f>ROUNDDOWN(IF($C$83&gt;0,$C$83/$AC$76*AC39,0),0)</f>
        <v/>
      </c>
    </row>
    <row r="40" ht="15.75" customHeight="1" s="62">
      <c r="A40" s="15" t="n">
        <v>38</v>
      </c>
      <c r="B40" s="32" t="inlineStr">
        <is>
          <t>Hoàng Đức - SamAngel</t>
        </is>
      </c>
      <c r="C40" s="31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9">
        <f>sum(E40:AB40)</f>
        <v/>
      </c>
      <c r="AD40" s="20">
        <f>ROUNDDOWN(IF($C$83&gt;0,$C$83/$AC$76*AC40,0),0)</f>
        <v/>
      </c>
    </row>
    <row r="41" ht="15.75" customHeight="1" s="62">
      <c r="A41" s="15" t="n">
        <v>39</v>
      </c>
      <c r="B41" s="32" t="inlineStr">
        <is>
          <t>RFANG</t>
        </is>
      </c>
      <c r="C41" s="31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9">
        <f>sum(E41:AB41)</f>
        <v/>
      </c>
      <c r="AD41" s="20">
        <f>ROUNDDOWN(IF($C$83&gt;0,$C$83/$AC$76*AC41,0),0)</f>
        <v/>
      </c>
    </row>
    <row r="42" ht="15.75" customHeight="1" s="62">
      <c r="A42" s="15" t="n">
        <v>40</v>
      </c>
      <c r="B42" s="32" t="inlineStr">
        <is>
          <t>Sales - Cheo Cheo</t>
        </is>
      </c>
      <c r="C42" s="31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9">
        <f>sum(E42:AB42)</f>
        <v/>
      </c>
      <c r="AD42" s="20">
        <f>ROUNDDOWN(IF($C$83&gt;0,$C$83/$AC$76*AC42,0),0)</f>
        <v/>
      </c>
    </row>
    <row r="43" ht="15.75" customHeight="1" s="62">
      <c r="A43" s="15" t="n">
        <v>41</v>
      </c>
      <c r="B43" s="32" t="inlineStr">
        <is>
          <t>Trung Tú- TieuThuAnhNhu</t>
        </is>
      </c>
      <c r="C43" s="31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9">
        <f>sum(E43:AB43)</f>
        <v/>
      </c>
      <c r="AD43" s="20">
        <f>ROUNDDOWN(IF($C$83&gt;0,$C$83/$AC$76*AC43,0),0)</f>
        <v/>
      </c>
    </row>
    <row r="44" ht="15.75" customHeight="1" s="62">
      <c r="A44" s="15" t="n">
        <v>42</v>
      </c>
      <c r="B44" s="32" t="inlineStr">
        <is>
          <t>Nguyễn Huy- xxxxxxxxxxanh7</t>
        </is>
      </c>
      <c r="C44" s="31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9">
        <f>sum(E44:AB44)</f>
        <v/>
      </c>
      <c r="AD44" s="20">
        <f>ROUNDDOWN(IF($C$83&gt;0,$C$83/$AC$76*AC44,0),0)</f>
        <v/>
      </c>
    </row>
    <row r="45" ht="15.75" customHeight="1" s="62">
      <c r="A45" s="15" t="n">
        <v>43</v>
      </c>
      <c r="B45" s="32" t="inlineStr">
        <is>
          <t>Lê Hải - zBúnĐậuz</t>
        </is>
      </c>
      <c r="C45" s="31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9">
        <f>sum(E45:AB45)</f>
        <v/>
      </c>
      <c r="AD45" s="20">
        <f>ROUNDDOWN(IF($C$83&gt;0,$C$83/$AC$76*AC45,0),0)</f>
        <v/>
      </c>
    </row>
    <row r="46" ht="15.75" customHeight="1" s="62">
      <c r="A46" s="15" t="n">
        <v>44</v>
      </c>
      <c r="B46" s="24" t="inlineStr">
        <is>
          <t>Dũng - LýAnhSan</t>
        </is>
      </c>
      <c r="C46" s="31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9">
        <f>sum(E46:AB46)</f>
        <v/>
      </c>
      <c r="AD46" s="20">
        <f>ROUNDDOWN(IF($C$83&gt;0,$C$83/$AC$76*AC46,0),0)</f>
        <v/>
      </c>
    </row>
    <row r="47" ht="15.75" customHeight="1" s="62">
      <c r="A47" s="15" t="n">
        <v>45</v>
      </c>
      <c r="B47" s="24" t="inlineStr">
        <is>
          <t xml:space="preserve">Bảo An - ZzKimSatzZ  </t>
        </is>
      </c>
      <c r="C47" s="31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9">
        <f>sum(E47:AB47)</f>
        <v/>
      </c>
      <c r="AD47" s="20">
        <f>ROUNDDOWN(IF($C$83&gt;0,$C$83/$AC$76*AC47,0),0)</f>
        <v/>
      </c>
    </row>
    <row r="48" ht="16.5" customHeight="1" s="62">
      <c r="A48" s="15" t="n">
        <v>46</v>
      </c>
      <c r="B48" s="24" t="inlineStr">
        <is>
          <t xml:space="preserve">Duy Luận - QWERTS </t>
        </is>
      </c>
      <c r="C48" s="31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9">
        <f>sum(E48:AB48)</f>
        <v/>
      </c>
      <c r="AD48" s="20">
        <f>ROUNDDOWN(IF($C$83&gt;0,$C$83/$AC$76*AC48,0),0)</f>
        <v/>
      </c>
    </row>
    <row r="49" ht="16.5" customHeight="1" s="62">
      <c r="A49" s="15" t="n">
        <v>47</v>
      </c>
      <c r="B49" s="24" t="inlineStr">
        <is>
          <t>dtcmv- dglcvihdt</t>
        </is>
      </c>
      <c r="C49" s="31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9">
        <f>sum(E49:AB49)</f>
        <v/>
      </c>
      <c r="AD49" s="20">
        <f>ROUNDDOWN(IF($C$83&gt;0,$C$83/$AC$76*AC49,0),0)</f>
        <v/>
      </c>
    </row>
    <row r="50" ht="16.5" customHeight="1" s="62">
      <c r="A50" s="15" t="n">
        <v>48</v>
      </c>
      <c r="B50" s="24" t="inlineStr">
        <is>
          <t>Tuấn TRần - xxxxxxxanh4</t>
        </is>
      </c>
      <c r="C50" s="31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9">
        <f>sum(E50:AB50)</f>
        <v/>
      </c>
      <c r="AD50" s="20">
        <f>ROUNDDOWN(IF($C$83&gt;0,$C$83/$AC$76*AC50,0),0)</f>
        <v/>
      </c>
    </row>
    <row r="51" ht="16.5" customHeight="1" s="62">
      <c r="A51" s="15" t="n">
        <v>49</v>
      </c>
      <c r="B51" s="24" t="inlineStr">
        <is>
          <t>Ngọc Nhiên Acc: MecBaCac</t>
        </is>
      </c>
      <c r="C51" s="31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9">
        <f>sum(E51:AB51)</f>
        <v/>
      </c>
      <c r="AD51" s="20">
        <f>ROUNDDOWN(IF($C$83&gt;0,$C$83/$AC$76*AC51,0),0)</f>
        <v/>
      </c>
    </row>
    <row r="52" ht="16.5" customHeight="1" s="62">
      <c r="A52" s="15" t="n">
        <v>50</v>
      </c>
      <c r="B52" s="24" t="inlineStr">
        <is>
          <t>Nguyen Ngoc Cường  - Anh7Hàng To</t>
        </is>
      </c>
      <c r="C52" s="31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9">
        <f>sum(E52:AB52)</f>
        <v/>
      </c>
      <c r="AD52" s="20">
        <f>ROUNDDOWN(IF($C$83&gt;0,$C$83/$AC$76*AC52,0),0)</f>
        <v/>
      </c>
    </row>
    <row r="53" ht="16.5" customHeight="1" s="62">
      <c r="A53" s="15" t="n">
        <v>51</v>
      </c>
      <c r="B53" s="24" t="inlineStr">
        <is>
          <t xml:space="preserve"> Mã Tấn An - Mã Công Tử</t>
        </is>
      </c>
      <c r="C53" s="31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9">
        <f>sum(E53:AB53)</f>
        <v/>
      </c>
      <c r="AD53" s="20">
        <f>ROUNDDOWN(IF($C$83&gt;0,$C$83/$AC$76*AC53,0),0)</f>
        <v/>
      </c>
    </row>
    <row r="54" ht="16.5" customHeight="1" s="62">
      <c r="A54" s="15" t="n">
        <v>52</v>
      </c>
      <c r="B54" s="24" t="inlineStr">
        <is>
          <t>Thành Long - LuKaMuSic</t>
        </is>
      </c>
      <c r="C54" s="31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9">
        <f>sum(E54:AB54)</f>
        <v/>
      </c>
      <c r="AD54" s="20">
        <f>ROUNDDOWN(IF($C$83&gt;0,$C$83/$AC$76*AC54,0),0)</f>
        <v/>
      </c>
    </row>
    <row r="55" ht="16.5" customHeight="1" s="62">
      <c r="A55" s="15" t="n">
        <v>53</v>
      </c>
      <c r="B55" s="24" t="inlineStr">
        <is>
          <t>Nam Bảo - ZAnh 3 Chà Cú</t>
        </is>
      </c>
      <c r="C55" s="31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9">
        <f>sum(E55:AB55)</f>
        <v/>
      </c>
      <c r="AD55" s="20">
        <f>ROUNDDOWN(IF($C$83&gt;0,$C$83/$AC$76*AC55,0),0)</f>
        <v/>
      </c>
    </row>
    <row r="56" ht="16.5" customHeight="1" s="62">
      <c r="A56" s="15" t="n">
        <v>54</v>
      </c>
      <c r="B56" s="24" t="inlineStr">
        <is>
          <t>Tèo tây nguyên- tieulyphilong</t>
        </is>
      </c>
      <c r="C56" s="31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9">
        <f>sum(E56:AB56)</f>
        <v/>
      </c>
      <c r="AD56" s="20">
        <f>ROUNDDOWN(IF($C$83&gt;0,$C$83/$AC$76*AC56,0),0)</f>
        <v/>
      </c>
    </row>
    <row r="57" ht="16.5" customHeight="1" s="62">
      <c r="A57" s="15" t="n">
        <v>55</v>
      </c>
      <c r="B57" s="24" t="inlineStr">
        <is>
          <t>Hoang Sang - Hikori</t>
        </is>
      </c>
      <c r="C57" s="31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9">
        <f>sum(E57:AB57)</f>
        <v/>
      </c>
      <c r="AD57" s="20">
        <f>ROUNDDOWN(IF($C$83&gt;0,$C$83/$AC$76*AC57,0),0)</f>
        <v/>
      </c>
    </row>
    <row r="58" ht="16.5" customHeight="1" s="62">
      <c r="A58" s="15" t="n">
        <v>56</v>
      </c>
      <c r="B58" s="24" t="inlineStr">
        <is>
          <t>Jiu Chill - BichGiao</t>
        </is>
      </c>
      <c r="C58" s="31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9">
        <f>sum(E58:AB58)</f>
        <v/>
      </c>
      <c r="AD58" s="20">
        <f>ROUNDDOWN(IF($C$83&gt;0,$C$83/$AC$76*AC58,0),0)</f>
        <v/>
      </c>
    </row>
    <row r="59" ht="16.5" customHeight="1" s="62">
      <c r="A59" s="15" t="n">
        <v>57</v>
      </c>
      <c r="B59" s="24" t="inlineStr">
        <is>
          <t>Lê Thanh Phong - ltphong</t>
        </is>
      </c>
      <c r="C59" s="31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9">
        <f>sum(E59:AB59)</f>
        <v/>
      </c>
      <c r="AD59" s="20">
        <f>ROUNDDOWN(IF($C$83&gt;0,$C$83/$AC$76*AC59,0),0)</f>
        <v/>
      </c>
    </row>
    <row r="60" ht="16.5" customHeight="1" s="62">
      <c r="A60" s="15" t="n">
        <v>58</v>
      </c>
      <c r="B60" s="24" t="inlineStr">
        <is>
          <t>Sói - Nữ Qủy</t>
        </is>
      </c>
      <c r="C60" s="31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9">
        <f>sum(E60:AB60)</f>
        <v/>
      </c>
      <c r="AD60" s="20">
        <f>ROUNDDOWN(IF($C$83&gt;0,$C$83/$AC$76*AC60,0),0)</f>
        <v/>
      </c>
    </row>
    <row r="61" ht="16.5" customHeight="1" s="62">
      <c r="A61" s="15" t="n">
        <v>59</v>
      </c>
      <c r="B61" s="24" t="inlineStr">
        <is>
          <t>Nguyên Phước - Lạc Phàm</t>
        </is>
      </c>
      <c r="C61" s="31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9">
        <f>sum(E61:AB61)</f>
        <v/>
      </c>
      <c r="AD61" s="20">
        <f>ROUNDDOWN(IF($C$83&gt;0,$C$83/$AC$76*AC61,0),0)</f>
        <v/>
      </c>
    </row>
    <row r="62" ht="16.5" customHeight="1" s="62">
      <c r="A62" s="15" t="n">
        <v>60</v>
      </c>
      <c r="B62" s="24" t="inlineStr">
        <is>
          <t>Văn An - EmBanTáo0</t>
        </is>
      </c>
      <c r="C62" s="31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9">
        <f>sum(E62:AB62)</f>
        <v/>
      </c>
      <c r="AD62" s="20">
        <f>ROUNDDOWN(IF($C$83&gt;0,$C$83/$AC$76*AC62,0),0)</f>
        <v/>
      </c>
    </row>
    <row r="63" ht="16.5" customHeight="1" s="62">
      <c r="A63" s="15" t="n">
        <v>61</v>
      </c>
      <c r="B63" s="24" t="inlineStr">
        <is>
          <t>Hoàng Lê - YanhSao</t>
        </is>
      </c>
      <c r="C63" s="31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9">
        <f>sum(E63:AB63)</f>
        <v/>
      </c>
      <c r="AD63" s="20">
        <f>ROUNDDOWN(IF($C$83&gt;0,$C$83/$AC$76*AC63,0),0)</f>
        <v/>
      </c>
    </row>
    <row r="64" ht="16.5" customHeight="1" s="62">
      <c r="A64" s="15" t="n">
        <v>62</v>
      </c>
      <c r="B64" s="24" t="inlineStr">
        <is>
          <t>Kiên Trọc - Đao c10</t>
        </is>
      </c>
      <c r="C64" s="31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9">
        <f>sum(E64:AB64)</f>
        <v/>
      </c>
      <c r="AD64" s="20">
        <f>ROUNDDOWN(IF($C$83&gt;0,$C$83/$AC$76*AC64,0),0)</f>
        <v/>
      </c>
    </row>
    <row r="65" ht="16.5" customHeight="1" s="62">
      <c r="A65" s="15" t="n">
        <v>63</v>
      </c>
      <c r="B65" s="32" t="inlineStr">
        <is>
          <t>Nguyễn Kim Cư - vlvolam1</t>
        </is>
      </c>
      <c r="C65" s="31" t="n"/>
      <c r="D65" s="18" t="n"/>
      <c r="E65" s="33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9">
        <f>sum(E65:AB65)</f>
        <v/>
      </c>
      <c r="AD65" s="20">
        <f>ROUNDDOWN(IF($C$83&gt;0,$C$83/$AC$76*AC65,0),0)</f>
        <v/>
      </c>
    </row>
    <row r="66" ht="16.5" customHeight="1" s="62">
      <c r="A66" s="15" t="n">
        <v>64</v>
      </c>
      <c r="B66" s="32" t="inlineStr">
        <is>
          <t>Lê Đỗ - TàuAnhQuaNúi</t>
        </is>
      </c>
      <c r="C66" s="31" t="n"/>
      <c r="D66" s="18" t="n"/>
      <c r="E66" s="33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9">
        <f>sum(E66:AB66)</f>
        <v/>
      </c>
      <c r="AD66" s="20">
        <f>ROUNDDOWN(IF($C$83&gt;0,$C$83/$AC$76*AC66,0),0)</f>
        <v/>
      </c>
    </row>
    <row r="67" ht="16.5" customHeight="1" s="62">
      <c r="A67" s="15" t="n">
        <v>65</v>
      </c>
      <c r="B67" s="32" t="inlineStr">
        <is>
          <t>Song Ngư - 2 CON CA</t>
        </is>
      </c>
      <c r="C67" s="31" t="n"/>
      <c r="D67" s="18" t="n"/>
      <c r="E67" s="33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9">
        <f>sum(E67:AB67)</f>
        <v/>
      </c>
      <c r="AD67" s="20">
        <f>ROUNDDOWN(IF($C$83&gt;0,$C$83/$AC$76*AC67,0),0)</f>
        <v/>
      </c>
    </row>
    <row r="68" ht="16.5" customHeight="1" s="62">
      <c r="A68" s="15" t="n">
        <v>66</v>
      </c>
      <c r="B68" s="32" t="inlineStr">
        <is>
          <t>7kav -  Thuỷ Thánh</t>
        </is>
      </c>
      <c r="C68" s="31" t="n"/>
      <c r="D68" s="18" t="n"/>
      <c r="E68" s="33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9">
        <f>sum(E68:AB68)</f>
        <v/>
      </c>
      <c r="AD68" s="20">
        <f>ROUNDDOWN(IF($C$83&gt;0,$C$83/$AC$76*AC68,0),0)</f>
        <v/>
      </c>
    </row>
    <row r="69" ht="16.5" customHeight="1" s="62">
      <c r="A69" s="15" t="n">
        <v>67</v>
      </c>
      <c r="B69" s="32" t="inlineStr">
        <is>
          <t>KuCoLong</t>
        </is>
      </c>
      <c r="C69" s="31" t="n"/>
      <c r="D69" s="18" t="n"/>
      <c r="E69" s="33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9">
        <f>sum(E69:AB69)</f>
        <v/>
      </c>
      <c r="AD69" s="20">
        <f>ROUNDDOWN(IF($C$83&gt;0,$C$83/$AC$76*AC69,0),0)</f>
        <v/>
      </c>
    </row>
    <row r="70" ht="16.5" customHeight="1" s="62">
      <c r="A70" s="15" t="n">
        <v>68</v>
      </c>
      <c r="B70" s="32" t="inlineStr">
        <is>
          <t>Thái - Nghĩ Mãi K Ra</t>
        </is>
      </c>
      <c r="C70" s="31" t="n"/>
      <c r="D70" s="18" t="n"/>
      <c r="E70" s="33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9">
        <f>sum(E70:AB70)</f>
        <v/>
      </c>
      <c r="AD70" s="20">
        <f>ROUNDDOWN(IF($C$83&gt;0,$C$83/$AC$76*AC70,0),0)</f>
        <v/>
      </c>
    </row>
    <row r="71" ht="16.5" customHeight="1" s="62">
      <c r="A71" s="15" t="n">
        <v>69</v>
      </c>
      <c r="B71" s="32" t="inlineStr">
        <is>
          <t>Lê Hoàng Long - Cậu 3 ƠI</t>
        </is>
      </c>
      <c r="C71" s="34" t="n"/>
      <c r="D71" s="18" t="n"/>
      <c r="E71" s="33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9">
        <f>sum(E71:AB71)</f>
        <v/>
      </c>
      <c r="AD71" s="20">
        <f>ROUNDDOWN(IF($C$83&gt;0,$C$83/$AC$76*AC71,0),0)</f>
        <v/>
      </c>
    </row>
    <row r="72" ht="16.5" customHeight="1" s="62">
      <c r="A72" s="15" t="n">
        <v>70</v>
      </c>
      <c r="B72" s="35" t="inlineStr">
        <is>
          <t>Kim Trường Sơn - 79BéChiêu</t>
        </is>
      </c>
      <c r="C72" s="36" t="n"/>
      <c r="D72" s="18" t="n"/>
      <c r="E72" s="33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9">
        <f>sum(E72:AB72)</f>
        <v/>
      </c>
      <c r="AD72" s="20">
        <f>ROUNDDOWN(IF($C$83&gt;0,$C$83/$AC$76*AC72,0),0)</f>
        <v/>
      </c>
    </row>
    <row r="73" ht="16.5" customHeight="1" s="62">
      <c r="A73" s="15" t="n">
        <v>71</v>
      </c>
      <c r="B73" s="35" t="inlineStr">
        <is>
          <t>Bánh Tráng Tấn Lộc - 70CủMì</t>
        </is>
      </c>
      <c r="C73" s="36" t="n"/>
      <c r="D73" s="18" t="n"/>
      <c r="E73" s="33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9">
        <f>sum(E73:AB73)</f>
        <v/>
      </c>
      <c r="AD73" s="20">
        <f>ROUNDDOWN(IF($C$83&gt;0,$C$83/$AC$76*AC73,0),0)</f>
        <v/>
      </c>
    </row>
    <row r="74" ht="16.5" customHeight="1" s="62">
      <c r="A74" s="15" t="n">
        <v>72</v>
      </c>
      <c r="B74" s="35" t="inlineStr">
        <is>
          <t>Van Gioi- Lao Tru</t>
        </is>
      </c>
      <c r="C74" s="36" t="n"/>
      <c r="D74" s="18" t="n"/>
      <c r="E74" s="33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9">
        <f>sum(E74:AB74)</f>
        <v/>
      </c>
      <c r="AD74" s="20">
        <f>ROUNDDOWN(IF($C$83&gt;0,$C$83/$AC$76*AC74,0),0)</f>
        <v/>
      </c>
    </row>
    <row r="75" ht="15.75" customHeight="1" s="62">
      <c r="A75" s="67" t="inlineStr">
        <is>
          <t>Số Người Tham Gia Hoạt Động</t>
        </is>
      </c>
      <c r="B75" s="68" t="n"/>
      <c r="C75" s="69" t="n"/>
      <c r="D75" s="40" t="n"/>
      <c r="E75" s="40">
        <f>sum(E3:E74)</f>
        <v/>
      </c>
      <c r="F75" s="40">
        <f>sum(F3:F74)</f>
        <v/>
      </c>
      <c r="G75" s="40">
        <f>sum(G3:G74)</f>
        <v/>
      </c>
      <c r="H75" s="40">
        <f>sum(H3:H74)</f>
        <v/>
      </c>
      <c r="I75" s="40">
        <f>sum(I3:I74)</f>
        <v/>
      </c>
      <c r="J75" s="40">
        <f>sum(J3:J74)</f>
        <v/>
      </c>
      <c r="K75" s="40">
        <f>sum(K3:K74)</f>
        <v/>
      </c>
      <c r="L75" s="40">
        <f>sum(L3:L74)</f>
        <v/>
      </c>
      <c r="M75" s="40">
        <f>sum(M3:M74)</f>
        <v/>
      </c>
      <c r="N75" s="40">
        <f>sum(N3:N74)</f>
        <v/>
      </c>
      <c r="O75" s="40">
        <f>sum(O3:O74)</f>
        <v/>
      </c>
      <c r="P75" s="40">
        <f>sum(P3:P74)</f>
        <v/>
      </c>
      <c r="Q75" s="40">
        <f>sum(Q3:Q74)</f>
        <v/>
      </c>
      <c r="R75" s="40">
        <f>sum(R3:R74)</f>
        <v/>
      </c>
      <c r="S75" s="40">
        <f>sum(S3:S74)</f>
        <v/>
      </c>
      <c r="T75" s="40">
        <f>sum(T3:T74)</f>
        <v/>
      </c>
      <c r="U75" s="40">
        <f>sum(U3:U74)</f>
        <v/>
      </c>
      <c r="V75" s="40">
        <f>sum(V3:V74)</f>
        <v/>
      </c>
      <c r="W75" s="40">
        <f>sum(W3:W74)</f>
        <v/>
      </c>
      <c r="X75" s="40">
        <f>sum(X3:X74)</f>
        <v/>
      </c>
      <c r="Y75" s="40">
        <f>sum(Y3:Y74)</f>
        <v/>
      </c>
      <c r="Z75" s="40">
        <f>sum(Z3:Z74)</f>
        <v/>
      </c>
      <c r="AA75" s="40">
        <f>sum(AA3:AA74)</f>
        <v/>
      </c>
      <c r="AB75" s="40">
        <f>sum(AB3:AB74)</f>
        <v/>
      </c>
      <c r="AC75" s="3" t="inlineStr">
        <is>
          <t>Tổng Số công
 Tham Gia HĐ</t>
        </is>
      </c>
      <c r="AD75" s="12" t="inlineStr">
        <is>
          <t>Tổng số KNB phát</t>
        </is>
      </c>
    </row>
    <row r="76" ht="15.75" customHeight="1" s="62">
      <c r="A76" s="70" t="n"/>
      <c r="B76" s="71" t="n"/>
      <c r="C76" s="72" t="n"/>
      <c r="D76" s="40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45">
        <f>sum(AC3:AC74)</f>
        <v/>
      </c>
      <c r="AD76" s="45">
        <f>SUM(AD3:AD74)</f>
        <v/>
      </c>
    </row>
    <row r="77" ht="15.75" customHeight="1" s="62">
      <c r="A77" s="67" t="inlineStr">
        <is>
          <t>KNB Thu Được Hàng Ngày</t>
        </is>
      </c>
      <c r="B77" s="63" t="n"/>
      <c r="C77" s="64" t="n"/>
      <c r="D77" s="47" t="n"/>
      <c r="E77" s="47" t="n"/>
      <c r="F77" s="63" t="n"/>
      <c r="G77" s="64" t="n"/>
      <c r="H77" s="47" t="n"/>
      <c r="I77" s="47" t="n"/>
      <c r="J77" s="63" t="n"/>
      <c r="K77" s="64" t="n"/>
      <c r="L77" s="47" t="n"/>
      <c r="M77" s="63" t="n"/>
      <c r="N77" s="64" t="n"/>
      <c r="O77" s="47" t="n"/>
      <c r="P77" s="63" t="n"/>
      <c r="Q77" s="64" t="n"/>
      <c r="R77" s="47" t="n"/>
      <c r="S77" s="47" t="n"/>
      <c r="T77" s="63" t="n"/>
      <c r="U77" s="64" t="n"/>
      <c r="V77" s="47" t="n"/>
      <c r="W77" s="63" t="n"/>
      <c r="X77" s="64" t="n"/>
      <c r="Y77" s="47" t="n"/>
      <c r="Z77" s="47" t="n"/>
      <c r="AA77" s="63" t="n"/>
      <c r="AB77" s="64" t="n"/>
      <c r="AC77" s="49" t="n"/>
      <c r="AD77" s="49" t="n"/>
    </row>
    <row r="78" ht="15.75" customHeight="1" s="62">
      <c r="A78" s="50" t="n"/>
      <c r="B78" s="50" t="n"/>
      <c r="C78" s="50" t="n"/>
      <c r="D78" s="50" t="n"/>
      <c r="E78" s="50" t="n"/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</row>
    <row r="79" ht="15.75" customHeight="1" s="62">
      <c r="A79" s="73" t="inlineStr">
        <is>
          <t>Tổng KNB thu về trong tuần:</t>
        </is>
      </c>
      <c r="B79" s="72" t="n"/>
      <c r="C79" s="52" t="n">
        <v>12139</v>
      </c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  <c r="AA79" s="53" t="n"/>
      <c r="AB79" s="53" t="n"/>
      <c r="AC79" s="53" t="n"/>
      <c r="AD79" s="53" t="n"/>
    </row>
    <row r="80" ht="15.75" customHeight="1" s="62">
      <c r="A80" s="74" t="inlineStr">
        <is>
          <t>Lương Soái</t>
        </is>
      </c>
      <c r="B80" s="64" t="n"/>
      <c r="C80" s="55" t="n">
        <v>300</v>
      </c>
      <c r="D80" s="53" t="n"/>
      <c r="E80" s="53" t="n"/>
      <c r="F80" s="75" t="inlineStr">
        <is>
          <t>Ghi chú</t>
        </is>
      </c>
      <c r="G80" s="57" t="n"/>
      <c r="H80" s="76" t="n"/>
      <c r="I80" s="68" t="n"/>
      <c r="J80" s="68" t="n"/>
      <c r="K80" s="69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  <c r="AA80" s="53" t="n"/>
      <c r="AB80" s="53" t="n"/>
      <c r="AC80" s="53" t="n"/>
      <c r="AD80" s="53" t="n"/>
    </row>
    <row r="81" ht="15.75" customHeight="1" s="62">
      <c r="A81" s="74" t="inlineStr">
        <is>
          <t>Lương Thủ quỹ</t>
        </is>
      </c>
      <c r="B81" s="64" t="n"/>
      <c r="C81" s="55" t="n">
        <v>200</v>
      </c>
      <c r="D81" s="53" t="n"/>
      <c r="E81" s="53" t="n"/>
      <c r="F81" s="77" t="n"/>
      <c r="G81" s="57" t="n"/>
      <c r="H81" s="70" t="n"/>
      <c r="I81" s="71" t="n"/>
      <c r="J81" s="71" t="n"/>
      <c r="K81" s="72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  <c r="AA81" s="53" t="n"/>
      <c r="AB81" s="53" t="n"/>
      <c r="AC81" s="53" t="n"/>
      <c r="AD81" s="53" t="n"/>
    </row>
    <row r="82" ht="15.75" customHeight="1" s="62">
      <c r="A82" s="74" t="inlineStr">
        <is>
          <t>Trích 30% bỏ vào quỹ bang:</t>
        </is>
      </c>
      <c r="B82" s="64" t="n"/>
      <c r="C82" s="55">
        <f>30%*C79</f>
        <v/>
      </c>
      <c r="D82" s="53" t="n"/>
      <c r="E82" s="53" t="n"/>
      <c r="F82" s="77" t="n"/>
      <c r="G82" s="57" t="n"/>
      <c r="H82" s="76" t="n"/>
      <c r="I82" s="68" t="n"/>
      <c r="J82" s="68" t="n"/>
      <c r="K82" s="69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  <c r="AA82" s="53" t="n"/>
      <c r="AB82" s="53" t="n"/>
      <c r="AC82" s="53" t="n"/>
      <c r="AD82" s="53" t="n"/>
    </row>
    <row r="83" ht="15.75" customHeight="1" s="62">
      <c r="A83" s="74" t="inlineStr">
        <is>
          <t>Số KNB còn lại để phát lương:</t>
        </is>
      </c>
      <c r="B83" s="64" t="n"/>
      <c r="C83" s="55">
        <f>C79-C80-C81-C82</f>
        <v/>
      </c>
      <c r="D83" s="53" t="n"/>
      <c r="E83" s="53" t="n"/>
      <c r="F83" s="77" t="n"/>
      <c r="G83" s="57" t="n"/>
      <c r="H83" s="70" t="n"/>
      <c r="I83" s="71" t="n"/>
      <c r="J83" s="71" t="n"/>
      <c r="K83" s="72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  <c r="AA83" s="53" t="n"/>
      <c r="AB83" s="53" t="n"/>
      <c r="AC83" s="53" t="n"/>
      <c r="AD83" s="53" t="n"/>
    </row>
    <row r="84" ht="15.75" customHeight="1" s="62">
      <c r="A84" s="74" t="inlineStr">
        <is>
          <t>Tổng số lần tham gia hoạt động</t>
        </is>
      </c>
      <c r="B84" s="64" t="n"/>
      <c r="C84" s="55">
        <f>SUM(AC3:AC74)</f>
        <v/>
      </c>
      <c r="D84" s="53" t="n"/>
      <c r="E84" s="53" t="n"/>
      <c r="F84" s="77" t="n"/>
      <c r="G84" s="57" t="n"/>
      <c r="H84" s="76" t="n"/>
      <c r="I84" s="68" t="n"/>
      <c r="J84" s="68" t="n"/>
      <c r="K84" s="69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  <c r="AA84" s="53" t="n"/>
      <c r="AB84" s="53" t="n"/>
      <c r="AC84" s="53" t="n"/>
      <c r="AD84" s="53" t="n"/>
    </row>
    <row r="85" ht="15.75" customHeight="1" s="62">
      <c r="A85" s="74" t="inlineStr">
        <is>
          <t>Hệ số lương / 1 lần tham gia hđ</t>
        </is>
      </c>
      <c r="B85" s="64" t="n"/>
      <c r="C85" s="60">
        <f>IF(C83&gt;0,C83/C84,0)</f>
        <v/>
      </c>
      <c r="D85" s="53" t="n"/>
      <c r="E85" s="53" t="n"/>
      <c r="F85" s="66" t="n"/>
      <c r="G85" s="57" t="n"/>
      <c r="H85" s="70" t="n"/>
      <c r="I85" s="71" t="n"/>
      <c r="J85" s="71" t="n"/>
      <c r="K85" s="72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  <c r="AA85" s="53" t="n"/>
      <c r="AB85" s="53" t="n"/>
      <c r="AC85" s="53" t="n"/>
      <c r="AD85" s="53" t="n"/>
    </row>
    <row r="86" ht="15.75" customHeight="1" s="62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  <c r="AA86" s="53" t="n"/>
      <c r="AB86" s="53" t="n"/>
      <c r="AC86" s="53" t="n"/>
      <c r="AD86" s="53" t="n"/>
    </row>
    <row r="87" ht="15.75" customHeight="1" s="62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  <c r="AA87" s="53" t="n"/>
      <c r="AB87" s="53" t="n"/>
      <c r="AC87" s="53" t="n"/>
      <c r="AD87" s="53" t="n"/>
    </row>
    <row r="88" ht="15.75" customHeight="1" s="62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  <c r="AA88" s="53" t="n"/>
      <c r="AB88" s="53" t="n"/>
      <c r="AC88" s="53" t="n"/>
      <c r="AD88" s="53" t="n"/>
    </row>
    <row r="89" ht="15.75" customHeight="1" s="62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  <c r="AA89" s="53" t="n"/>
      <c r="AB89" s="53" t="n"/>
      <c r="AC89" s="53" t="n"/>
      <c r="AD89" s="53" t="n"/>
    </row>
    <row r="90" ht="15.75" customHeight="1" s="62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  <c r="AA90" s="53" t="n"/>
      <c r="AB90" s="53" t="n"/>
      <c r="AC90" s="53" t="n"/>
      <c r="AD90" s="53" t="n"/>
    </row>
    <row r="91" ht="15.75" customHeight="1" s="62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  <c r="AA91" s="53" t="n"/>
      <c r="AB91" s="53" t="n"/>
      <c r="AC91" s="53" t="n"/>
      <c r="AD91" s="53" t="n"/>
    </row>
    <row r="92" ht="15.75" customHeight="1" s="6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  <c r="AA92" s="53" t="n"/>
      <c r="AB92" s="53" t="n"/>
      <c r="AC92" s="53" t="n"/>
      <c r="AD92" s="53" t="n"/>
    </row>
    <row r="93" ht="15.75" customHeight="1" s="62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  <c r="AA93" s="53" t="n"/>
      <c r="AB93" s="53" t="n"/>
      <c r="AC93" s="53" t="n"/>
      <c r="AD93" s="53" t="n"/>
    </row>
    <row r="94" ht="15.75" customHeight="1" s="62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  <c r="AA94" s="53" t="n"/>
      <c r="AB94" s="53" t="n"/>
      <c r="AC94" s="53" t="n"/>
      <c r="AD94" s="53" t="n"/>
    </row>
    <row r="95" ht="15.75" customHeight="1" s="62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  <c r="AA95" s="53" t="n"/>
      <c r="AB95" s="53" t="n"/>
      <c r="AC95" s="53" t="n"/>
      <c r="AD95" s="53" t="n"/>
    </row>
    <row r="96" ht="15.75" customHeight="1" s="62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  <c r="AA96" s="53" t="n"/>
      <c r="AB96" s="53" t="n"/>
      <c r="AC96" s="53" t="n"/>
      <c r="AD96" s="53" t="n"/>
    </row>
    <row r="97" ht="15.75" customHeight="1" s="62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  <c r="AA97" s="53" t="n"/>
      <c r="AB97" s="53" t="n"/>
      <c r="AC97" s="53" t="n"/>
      <c r="AD97" s="53" t="n"/>
    </row>
    <row r="98" ht="15.75" customHeight="1" s="62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</row>
    <row r="99" ht="15.75" customHeight="1" s="62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  <c r="AA99" s="53" t="n"/>
      <c r="AB99" s="53" t="n"/>
      <c r="AC99" s="53" t="n"/>
      <c r="AD99" s="53" t="n"/>
    </row>
    <row r="100" ht="15.75" customHeight="1" s="62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  <c r="AA100" s="53" t="n"/>
      <c r="AB100" s="53" t="n"/>
      <c r="AC100" s="53" t="n"/>
      <c r="AD100" s="53" t="n"/>
    </row>
    <row r="101" ht="15.75" customHeight="1" s="62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  <c r="AA101" s="53" t="n"/>
      <c r="AB101" s="53" t="n"/>
      <c r="AC101" s="53" t="n"/>
      <c r="AD101" s="53" t="n"/>
    </row>
    <row r="102" ht="15.75" customHeight="1" s="6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  <c r="AA102" s="53" t="n"/>
      <c r="AB102" s="53" t="n"/>
      <c r="AC102" s="53" t="n"/>
      <c r="AD102" s="53" t="n"/>
    </row>
    <row r="103" ht="15.75" customHeight="1" s="62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  <c r="AA103" s="53" t="n"/>
      <c r="AB103" s="53" t="n"/>
      <c r="AC103" s="53" t="n"/>
      <c r="AD103" s="53" t="n"/>
    </row>
    <row r="104" ht="15.75" customHeight="1" s="62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  <c r="AA104" s="53" t="n"/>
      <c r="AB104" s="53" t="n"/>
      <c r="AC104" s="53" t="n"/>
      <c r="AD104" s="53" t="n"/>
    </row>
    <row r="105" ht="15.75" customHeight="1" s="62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  <c r="AA105" s="53" t="n"/>
      <c r="AB105" s="53" t="n"/>
      <c r="AC105" s="53" t="n"/>
      <c r="AD105" s="53" t="n"/>
    </row>
    <row r="106" ht="15.75" customHeight="1" s="62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  <c r="AA106" s="53" t="n"/>
      <c r="AB106" s="53" t="n"/>
      <c r="AC106" s="53" t="n"/>
      <c r="AD106" s="53" t="n"/>
    </row>
    <row r="107" ht="15.75" customHeight="1" s="62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  <c r="AA107" s="53" t="n"/>
      <c r="AB107" s="53" t="n"/>
      <c r="AC107" s="53" t="n"/>
      <c r="AD107" s="53" t="n"/>
    </row>
    <row r="108" ht="15.75" customHeight="1" s="62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  <c r="AA108" s="53" t="n"/>
      <c r="AB108" s="53" t="n"/>
      <c r="AC108" s="53" t="n"/>
      <c r="AD108" s="53" t="n"/>
    </row>
    <row r="109" ht="15.75" customHeight="1" s="62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  <c r="AA109" s="53" t="n"/>
      <c r="AB109" s="53" t="n"/>
      <c r="AC109" s="53" t="n"/>
      <c r="AD109" s="53" t="n"/>
    </row>
    <row r="110" ht="15.75" customHeight="1" s="62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  <c r="AA110" s="53" t="n"/>
      <c r="AB110" s="53" t="n"/>
      <c r="AC110" s="53" t="n"/>
      <c r="AD110" s="53" t="n"/>
    </row>
    <row r="111" ht="15.75" customHeight="1" s="62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  <c r="AA111" s="53" t="n"/>
      <c r="AB111" s="53" t="n"/>
      <c r="AC111" s="53" t="n"/>
      <c r="AD111" s="53" t="n"/>
    </row>
    <row r="112" ht="15.75" customHeight="1" s="6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  <c r="AA112" s="53" t="n"/>
      <c r="AB112" s="53" t="n"/>
      <c r="AC112" s="53" t="n"/>
      <c r="AD112" s="53" t="n"/>
    </row>
    <row r="113" ht="15.75" customHeight="1" s="62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  <c r="AA113" s="53" t="n"/>
      <c r="AB113" s="53" t="n"/>
      <c r="AC113" s="53" t="n"/>
      <c r="AD113" s="53" t="n"/>
    </row>
    <row r="114" ht="15.75" customHeight="1" s="62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  <c r="AA114" s="53" t="n"/>
      <c r="AB114" s="53" t="n"/>
      <c r="AC114" s="53" t="n"/>
      <c r="AD114" s="53" t="n"/>
    </row>
    <row r="115" ht="15.75" customHeight="1" s="62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  <c r="AA115" s="53" t="n"/>
      <c r="AB115" s="53" t="n"/>
      <c r="AC115" s="53" t="n"/>
      <c r="AD115" s="53" t="n"/>
    </row>
    <row r="116" ht="15.75" customHeight="1" s="62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  <c r="AA116" s="53" t="n"/>
      <c r="AB116" s="53" t="n"/>
      <c r="AC116" s="53" t="n"/>
      <c r="AD116" s="53" t="n"/>
    </row>
    <row r="117" ht="15.75" customHeight="1" s="62">
      <c r="A117" s="61" t="inlineStr">
        <is>
          <t>   </t>
        </is>
      </c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  <c r="AA117" s="53" t="n"/>
      <c r="AB117" s="53" t="n"/>
      <c r="AC117" s="53" t="n"/>
      <c r="AD117" s="53" t="n"/>
    </row>
    <row r="118" ht="15.75" customHeight="1" s="62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  <c r="AA118" s="53" t="n"/>
      <c r="AB118" s="53" t="n"/>
      <c r="AC118" s="53" t="n"/>
      <c r="AD118" s="53" t="n"/>
    </row>
    <row r="119" ht="15.75" customHeight="1" s="62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  <c r="AA119" s="53" t="n"/>
      <c r="AB119" s="53" t="n"/>
      <c r="AC119" s="53" t="n"/>
      <c r="AD119" s="53" t="n"/>
    </row>
    <row r="120" ht="15.75" customHeight="1" s="62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  <c r="AA120" s="53" t="n"/>
      <c r="AB120" s="53" t="n"/>
      <c r="AC120" s="53" t="n"/>
      <c r="AD120" s="53" t="n"/>
    </row>
    <row r="121" ht="15.75" customHeight="1" s="62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  <c r="AA121" s="53" t="n"/>
      <c r="AB121" s="53" t="n"/>
      <c r="AC121" s="53" t="n"/>
      <c r="AD121" s="53" t="n"/>
    </row>
    <row r="122" ht="15.75" customHeight="1" s="6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  <c r="AA122" s="53" t="n"/>
      <c r="AB122" s="53" t="n"/>
      <c r="AC122" s="53" t="n"/>
      <c r="AD122" s="53" t="n"/>
    </row>
    <row r="123" ht="15.75" customHeight="1" s="62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  <c r="AA123" s="53" t="n"/>
      <c r="AB123" s="53" t="n"/>
      <c r="AC123" s="53" t="n"/>
      <c r="AD123" s="53" t="n"/>
    </row>
    <row r="124" ht="15.75" customHeight="1" s="62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  <c r="AA124" s="53" t="n"/>
      <c r="AB124" s="53" t="n"/>
      <c r="AC124" s="53" t="n"/>
      <c r="AD124" s="53" t="n"/>
    </row>
    <row r="125" ht="15.75" customHeight="1" s="62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  <c r="AA125" s="53" t="n"/>
      <c r="AB125" s="53" t="n"/>
      <c r="AC125" s="53" t="n"/>
      <c r="AD125" s="53" t="n"/>
    </row>
    <row r="126" ht="15.75" customHeight="1" s="62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  <c r="AA126" s="53" t="n"/>
      <c r="AB126" s="53" t="n"/>
      <c r="AC126" s="53" t="n"/>
      <c r="AD126" s="53" t="n"/>
    </row>
    <row r="127" ht="15.75" customHeight="1" s="62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  <c r="AA127" s="53" t="n"/>
      <c r="AB127" s="53" t="n"/>
      <c r="AC127" s="53" t="n"/>
      <c r="AD127" s="53" t="n"/>
    </row>
    <row r="128" ht="15.75" customHeight="1" s="62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  <c r="AA128" s="53" t="n"/>
      <c r="AB128" s="53" t="n"/>
      <c r="AC128" s="53" t="n"/>
      <c r="AD128" s="53" t="n"/>
    </row>
    <row r="129" ht="15.75" customHeight="1" s="62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  <c r="AA129" s="53" t="n"/>
      <c r="AB129" s="53" t="n"/>
      <c r="AC129" s="53" t="n"/>
      <c r="AD129" s="53" t="n"/>
    </row>
    <row r="130" ht="15.75" customHeight="1" s="62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  <c r="AA130" s="53" t="n"/>
      <c r="AB130" s="53" t="n"/>
      <c r="AC130" s="53" t="n"/>
      <c r="AD130" s="53" t="n"/>
    </row>
    <row r="131" ht="15.75" customHeight="1" s="62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  <c r="AA131" s="53" t="n"/>
      <c r="AB131" s="53" t="n"/>
      <c r="AC131" s="53" t="n"/>
      <c r="AD131" s="53" t="n"/>
    </row>
    <row r="132" ht="15.75" customHeight="1" s="6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  <c r="AA132" s="53" t="n"/>
      <c r="AB132" s="53" t="n"/>
      <c r="AC132" s="53" t="n"/>
      <c r="AD132" s="53" t="n"/>
    </row>
    <row r="133" ht="15.75" customHeight="1" s="62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  <c r="AA133" s="53" t="n"/>
      <c r="AB133" s="53" t="n"/>
      <c r="AC133" s="53" t="n"/>
      <c r="AD133" s="53" t="n"/>
    </row>
    <row r="134" ht="15.75" customHeight="1" s="62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  <c r="AA134" s="53" t="n"/>
      <c r="AB134" s="53" t="n"/>
      <c r="AC134" s="53" t="n"/>
      <c r="AD134" s="53" t="n"/>
    </row>
    <row r="135" ht="15.75" customHeight="1" s="62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  <c r="AA135" s="53" t="n"/>
      <c r="AB135" s="53" t="n"/>
      <c r="AC135" s="53" t="n"/>
      <c r="AD135" s="53" t="n"/>
    </row>
    <row r="136" ht="15.75" customHeight="1" s="62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  <c r="AA136" s="53" t="n"/>
      <c r="AB136" s="53" t="n"/>
      <c r="AC136" s="53" t="n"/>
      <c r="AD136" s="53" t="n"/>
    </row>
    <row r="137" ht="15.75" customHeight="1" s="62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  <c r="AA137" s="53" t="n"/>
      <c r="AB137" s="53" t="n"/>
      <c r="AC137" s="53" t="n"/>
      <c r="AD137" s="53" t="n"/>
    </row>
    <row r="138" ht="15.75" customHeight="1" s="62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  <c r="AA138" s="53" t="n"/>
      <c r="AB138" s="53" t="n"/>
      <c r="AC138" s="53" t="n"/>
      <c r="AD138" s="53" t="n"/>
    </row>
    <row r="139" ht="15.75" customHeight="1" s="62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  <c r="AA139" s="53" t="n"/>
      <c r="AB139" s="53" t="n"/>
      <c r="AC139" s="53" t="n"/>
      <c r="AD139" s="53" t="n"/>
    </row>
    <row r="140" ht="15.75" customHeight="1" s="62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  <c r="AA140" s="53" t="n"/>
      <c r="AB140" s="53" t="n"/>
      <c r="AC140" s="53" t="n"/>
      <c r="AD140" s="53" t="n"/>
    </row>
    <row r="141" ht="15.75" customHeight="1" s="62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  <c r="AA141" s="53" t="n"/>
      <c r="AB141" s="53" t="n"/>
      <c r="AC141" s="53" t="n"/>
      <c r="AD141" s="53" t="n"/>
    </row>
    <row r="142" ht="15.75" customHeight="1" s="6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  <c r="AA142" s="53" t="n"/>
      <c r="AB142" s="53" t="n"/>
      <c r="AC142" s="53" t="n"/>
      <c r="AD142" s="53" t="n"/>
    </row>
    <row r="143" ht="15.75" customHeight="1" s="62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  <c r="AA143" s="53" t="n"/>
      <c r="AB143" s="53" t="n"/>
      <c r="AC143" s="53" t="n"/>
      <c r="AD143" s="53" t="n"/>
    </row>
    <row r="144" ht="15.75" customHeight="1" s="62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  <c r="AA144" s="53" t="n"/>
      <c r="AB144" s="53" t="n"/>
      <c r="AC144" s="53" t="n"/>
      <c r="AD144" s="53" t="n"/>
    </row>
    <row r="145" ht="15.75" customHeight="1" s="62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  <c r="AA145" s="53" t="n"/>
      <c r="AB145" s="53" t="n"/>
      <c r="AC145" s="53" t="n"/>
      <c r="AD145" s="53" t="n"/>
    </row>
    <row r="146" ht="15.75" customHeight="1" s="62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  <c r="AA146" s="53" t="n"/>
      <c r="AB146" s="53" t="n"/>
      <c r="AC146" s="53" t="n"/>
      <c r="AD146" s="53" t="n"/>
    </row>
    <row r="147" ht="15.75" customHeight="1" s="62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  <c r="AA147" s="53" t="n"/>
      <c r="AB147" s="53" t="n"/>
      <c r="AC147" s="53" t="n"/>
      <c r="AD147" s="53" t="n"/>
    </row>
    <row r="148" ht="15.75" customHeight="1" s="62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  <c r="AA148" s="53" t="n"/>
      <c r="AB148" s="53" t="n"/>
      <c r="AC148" s="53" t="n"/>
      <c r="AD148" s="53" t="n"/>
    </row>
    <row r="149" ht="15.75" customHeight="1" s="62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  <c r="AA149" s="53" t="n"/>
      <c r="AB149" s="53" t="n"/>
      <c r="AC149" s="53" t="n"/>
      <c r="AD149" s="53" t="n"/>
    </row>
    <row r="150" ht="15.75" customHeight="1" s="62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  <c r="AA150" s="53" t="n"/>
      <c r="AB150" s="53" t="n"/>
      <c r="AC150" s="53" t="n"/>
      <c r="AD150" s="53" t="n"/>
    </row>
    <row r="151" ht="15.75" customHeight="1" s="62">
      <c r="A151" s="53" t="n"/>
      <c r="B151" s="53" t="n"/>
      <c r="C151" s="53" t="n"/>
      <c r="D151" s="5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  <c r="AA151" s="53" t="n"/>
      <c r="AB151" s="53" t="n"/>
      <c r="AC151" s="53" t="n"/>
      <c r="AD151" s="53" t="n"/>
    </row>
    <row r="152" ht="15.75" customHeight="1" s="62">
      <c r="A152" s="53" t="n"/>
      <c r="B152" s="53" t="n"/>
      <c r="C152" s="53" t="n"/>
      <c r="D152" s="5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  <c r="AA152" s="53" t="n"/>
      <c r="AB152" s="53" t="n"/>
      <c r="AC152" s="53" t="n"/>
      <c r="AD152" s="53" t="n"/>
    </row>
    <row r="153" ht="15.75" customHeight="1" s="62">
      <c r="A153" s="53" t="n"/>
      <c r="B153" s="53" t="n"/>
      <c r="C153" s="53" t="n"/>
      <c r="D153" s="5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  <c r="AA153" s="53" t="n"/>
      <c r="AB153" s="53" t="n"/>
      <c r="AC153" s="53" t="n"/>
      <c r="AD153" s="53" t="n"/>
    </row>
    <row r="154" ht="15.75" customHeight="1" s="62">
      <c r="A154" s="53" t="n"/>
      <c r="B154" s="53" t="n"/>
      <c r="C154" s="53" t="n"/>
      <c r="D154" s="5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  <c r="AA154" s="53" t="n"/>
      <c r="AB154" s="53" t="n"/>
      <c r="AC154" s="53" t="n"/>
      <c r="AD154" s="53" t="n"/>
    </row>
    <row r="155" ht="15.75" customHeight="1" s="62">
      <c r="A155" s="53" t="n"/>
      <c r="B155" s="53" t="n"/>
      <c r="C155" s="53" t="n"/>
      <c r="D155" s="5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  <c r="AA155" s="53" t="n"/>
      <c r="AB155" s="53" t="n"/>
      <c r="AC155" s="53" t="n"/>
      <c r="AD155" s="53" t="n"/>
    </row>
    <row r="156" ht="15.75" customHeight="1" s="62">
      <c r="A156" s="53" t="n"/>
      <c r="B156" s="53" t="n"/>
      <c r="C156" s="53" t="n"/>
      <c r="D156" s="5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  <c r="AA156" s="53" t="n"/>
      <c r="AB156" s="53" t="n"/>
      <c r="AC156" s="53" t="n"/>
      <c r="AD156" s="53" t="n"/>
    </row>
    <row r="157" ht="15.75" customHeight="1" s="62">
      <c r="A157" s="53" t="n"/>
      <c r="B157" s="53" t="n"/>
      <c r="C157" s="53" t="n"/>
      <c r="D157" s="5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  <c r="AA157" s="53" t="n"/>
      <c r="AB157" s="53" t="n"/>
      <c r="AC157" s="53" t="n"/>
      <c r="AD157" s="53" t="n"/>
    </row>
    <row r="158" ht="15.75" customHeight="1" s="62">
      <c r="A158" s="53" t="n"/>
      <c r="B158" s="53" t="n"/>
      <c r="C158" s="53" t="n"/>
      <c r="D158" s="5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  <c r="AA158" s="53" t="n"/>
      <c r="AB158" s="53" t="n"/>
      <c r="AC158" s="53" t="n"/>
      <c r="AD158" s="53" t="n"/>
    </row>
    <row r="159" ht="15.75" customHeight="1" s="62">
      <c r="A159" s="53" t="n"/>
      <c r="B159" s="53" t="n"/>
      <c r="C159" s="53" t="n"/>
      <c r="D159" s="5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  <c r="AA159" s="53" t="n"/>
      <c r="AB159" s="53" t="n"/>
      <c r="AC159" s="53" t="n"/>
      <c r="AD159" s="53" t="n"/>
    </row>
    <row r="160" ht="15.75" customHeight="1" s="62">
      <c r="A160" s="53" t="n"/>
      <c r="B160" s="53" t="n"/>
      <c r="C160" s="53" t="n"/>
      <c r="D160" s="5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  <c r="AA160" s="53" t="n"/>
      <c r="AB160" s="53" t="n"/>
      <c r="AC160" s="53" t="n"/>
      <c r="AD160" s="53" t="n"/>
    </row>
    <row r="161" ht="15.75" customHeight="1" s="62">
      <c r="A161" s="53" t="n"/>
      <c r="B161" s="53" t="n"/>
      <c r="C161" s="53" t="n"/>
      <c r="D161" s="5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  <c r="AA161" s="53" t="n"/>
      <c r="AB161" s="53" t="n"/>
      <c r="AC161" s="53" t="n"/>
      <c r="AD161" s="53" t="n"/>
    </row>
    <row r="162" ht="15.75" customHeight="1" s="62">
      <c r="A162" s="53" t="n"/>
      <c r="B162" s="53" t="n"/>
      <c r="C162" s="53" t="n"/>
      <c r="D162" s="5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  <c r="AA162" s="53" t="n"/>
      <c r="AB162" s="53" t="n"/>
      <c r="AC162" s="53" t="n"/>
      <c r="AD162" s="53" t="n"/>
    </row>
    <row r="163" ht="15.75" customHeight="1" s="62">
      <c r="A163" s="53" t="n"/>
      <c r="B163" s="53" t="n"/>
      <c r="C163" s="53" t="n"/>
      <c r="D163" s="5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  <c r="AA163" s="53" t="n"/>
      <c r="AB163" s="53" t="n"/>
      <c r="AC163" s="53" t="n"/>
      <c r="AD163" s="53" t="n"/>
    </row>
    <row r="164" ht="15.75" customHeight="1" s="62">
      <c r="A164" s="53" t="n"/>
      <c r="B164" s="53" t="n"/>
      <c r="C164" s="53" t="n"/>
      <c r="D164" s="5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  <c r="AA164" s="53" t="n"/>
      <c r="AB164" s="53" t="n"/>
      <c r="AC164" s="53" t="n"/>
      <c r="AD164" s="53" t="n"/>
    </row>
    <row r="165" ht="15.75" customHeight="1" s="62">
      <c r="A165" s="53" t="n"/>
      <c r="B165" s="53" t="n"/>
      <c r="C165" s="53" t="n"/>
      <c r="D165" s="5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  <c r="AA165" s="53" t="n"/>
      <c r="AB165" s="53" t="n"/>
      <c r="AC165" s="53" t="n"/>
      <c r="AD165" s="53" t="n"/>
    </row>
    <row r="166" ht="15.75" customHeight="1" s="62">
      <c r="A166" s="53" t="n"/>
      <c r="B166" s="53" t="n"/>
      <c r="C166" s="53" t="n"/>
      <c r="D166" s="5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  <c r="AA166" s="53" t="n"/>
      <c r="AB166" s="53" t="n"/>
      <c r="AC166" s="53" t="n"/>
      <c r="AD166" s="53" t="n"/>
    </row>
    <row r="167" ht="15.75" customHeight="1" s="62">
      <c r="A167" s="53" t="n"/>
      <c r="B167" s="53" t="n"/>
      <c r="C167" s="53" t="n"/>
      <c r="D167" s="5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  <c r="AA167" s="53" t="n"/>
      <c r="AB167" s="53" t="n"/>
      <c r="AC167" s="53" t="n"/>
      <c r="AD167" s="53" t="n"/>
    </row>
    <row r="168" ht="15.75" customHeight="1" s="62">
      <c r="A168" s="53" t="n"/>
      <c r="B168" s="53" t="n"/>
      <c r="C168" s="53" t="n"/>
      <c r="D168" s="5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  <c r="AA168" s="53" t="n"/>
      <c r="AB168" s="53" t="n"/>
      <c r="AC168" s="53" t="n"/>
      <c r="AD168" s="53" t="n"/>
    </row>
    <row r="169" ht="15.75" customHeight="1" s="62">
      <c r="A169" s="53" t="n"/>
      <c r="B169" s="53" t="n"/>
      <c r="C169" s="53" t="n"/>
      <c r="D169" s="5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  <c r="AA169" s="53" t="n"/>
      <c r="AB169" s="53" t="n"/>
      <c r="AC169" s="53" t="n"/>
      <c r="AD169" s="53" t="n"/>
    </row>
    <row r="170" ht="15.75" customHeight="1" s="62">
      <c r="A170" s="53" t="n"/>
      <c r="B170" s="53" t="n"/>
      <c r="C170" s="53" t="n"/>
      <c r="D170" s="5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  <c r="AA170" s="53" t="n"/>
      <c r="AB170" s="53" t="n"/>
      <c r="AC170" s="53" t="n"/>
      <c r="AD170" s="53" t="n"/>
    </row>
    <row r="171" ht="15.75" customHeight="1" s="62">
      <c r="A171" s="53" t="n"/>
      <c r="B171" s="53" t="n"/>
      <c r="C171" s="53" t="n"/>
      <c r="D171" s="5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  <c r="AA171" s="53" t="n"/>
      <c r="AB171" s="53" t="n"/>
      <c r="AC171" s="53" t="n"/>
      <c r="AD171" s="53" t="n"/>
    </row>
    <row r="172" ht="15.75" customHeight="1" s="62">
      <c r="A172" s="53" t="n"/>
      <c r="B172" s="53" t="n"/>
      <c r="C172" s="53" t="n"/>
      <c r="D172" s="5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  <c r="AA172" s="53" t="n"/>
      <c r="AB172" s="53" t="n"/>
      <c r="AC172" s="53" t="n"/>
      <c r="AD172" s="53" t="n"/>
    </row>
    <row r="173" ht="15.75" customHeight="1" s="62">
      <c r="A173" s="53" t="n"/>
      <c r="B173" s="53" t="n"/>
      <c r="C173" s="53" t="n"/>
      <c r="D173" s="5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  <c r="AA173" s="53" t="n"/>
      <c r="AB173" s="53" t="n"/>
      <c r="AC173" s="53" t="n"/>
      <c r="AD173" s="53" t="n"/>
    </row>
    <row r="174" ht="15.75" customHeight="1" s="62">
      <c r="A174" s="53" t="n"/>
      <c r="B174" s="53" t="n"/>
      <c r="C174" s="53" t="n"/>
      <c r="D174" s="5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  <c r="AA174" s="53" t="n"/>
      <c r="AB174" s="53" t="n"/>
      <c r="AC174" s="53" t="n"/>
      <c r="AD174" s="53" t="n"/>
    </row>
    <row r="175" ht="15.75" customHeight="1" s="62">
      <c r="A175" s="53" t="n"/>
      <c r="B175" s="53" t="n"/>
      <c r="C175" s="53" t="n"/>
      <c r="D175" s="5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  <c r="AA175" s="53" t="n"/>
      <c r="AB175" s="53" t="n"/>
      <c r="AC175" s="53" t="n"/>
      <c r="AD175" s="53" t="n"/>
    </row>
    <row r="176" ht="15.75" customHeight="1" s="62">
      <c r="A176" s="53" t="n"/>
      <c r="B176" s="53" t="n"/>
      <c r="C176" s="53" t="n"/>
      <c r="D176" s="5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  <c r="AA176" s="53" t="n"/>
      <c r="AB176" s="53" t="n"/>
      <c r="AC176" s="53" t="n"/>
      <c r="AD176" s="53" t="n"/>
    </row>
    <row r="177" ht="15.75" customHeight="1" s="62">
      <c r="A177" s="53" t="n"/>
      <c r="B177" s="53" t="n"/>
      <c r="C177" s="53" t="n"/>
      <c r="D177" s="5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  <c r="AA177" s="53" t="n"/>
      <c r="AB177" s="53" t="n"/>
      <c r="AC177" s="53" t="n"/>
      <c r="AD177" s="53" t="n"/>
    </row>
    <row r="178" ht="15.75" customHeight="1" s="62">
      <c r="A178" s="53" t="n"/>
      <c r="B178" s="53" t="n"/>
      <c r="C178" s="53" t="n"/>
      <c r="D178" s="5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  <c r="AA178" s="53" t="n"/>
      <c r="AB178" s="53" t="n"/>
      <c r="AC178" s="53" t="n"/>
      <c r="AD178" s="53" t="n"/>
    </row>
    <row r="179" ht="15.75" customHeight="1" s="62">
      <c r="A179" s="53" t="n"/>
      <c r="B179" s="53" t="n"/>
      <c r="C179" s="53" t="n"/>
      <c r="D179" s="5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  <c r="AA179" s="53" t="n"/>
      <c r="AB179" s="53" t="n"/>
      <c r="AC179" s="53" t="n"/>
      <c r="AD179" s="53" t="n"/>
    </row>
    <row r="180" ht="15.75" customHeight="1" s="62">
      <c r="A180" s="53" t="n"/>
      <c r="B180" s="53" t="n"/>
      <c r="C180" s="53" t="n"/>
      <c r="D180" s="5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  <c r="AA180" s="53" t="n"/>
      <c r="AB180" s="53" t="n"/>
      <c r="AC180" s="53" t="n"/>
      <c r="AD180" s="53" t="n"/>
    </row>
    <row r="181" ht="15.75" customHeight="1" s="62">
      <c r="A181" s="53" t="n"/>
      <c r="B181" s="53" t="n"/>
      <c r="C181" s="53" t="n"/>
      <c r="D181" s="5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  <c r="AA181" s="53" t="n"/>
      <c r="AB181" s="53" t="n"/>
      <c r="AC181" s="53" t="n"/>
      <c r="AD181" s="53" t="n"/>
    </row>
    <row r="182" ht="15.75" customHeight="1" s="62">
      <c r="A182" s="53" t="n"/>
      <c r="B182" s="53" t="n"/>
      <c r="C182" s="53" t="n"/>
      <c r="D182" s="5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  <c r="AA182" s="53" t="n"/>
      <c r="AB182" s="53" t="n"/>
      <c r="AC182" s="53" t="n"/>
      <c r="AD182" s="53" t="n"/>
    </row>
    <row r="183" ht="15.75" customHeight="1" s="62">
      <c r="A183" s="53" t="n"/>
      <c r="B183" s="53" t="n"/>
      <c r="C183" s="53" t="n"/>
      <c r="D183" s="5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  <c r="AA183" s="53" t="n"/>
      <c r="AB183" s="53" t="n"/>
      <c r="AC183" s="53" t="n"/>
      <c r="AD183" s="53" t="n"/>
    </row>
    <row r="184" ht="15.75" customHeight="1" s="62">
      <c r="A184" s="53" t="n"/>
      <c r="B184" s="53" t="n"/>
      <c r="C184" s="53" t="n"/>
      <c r="D184" s="5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  <c r="AA184" s="53" t="n"/>
      <c r="AB184" s="53" t="n"/>
      <c r="AC184" s="53" t="n"/>
      <c r="AD184" s="53" t="n"/>
    </row>
    <row r="185" ht="15.75" customHeight="1" s="62">
      <c r="A185" s="53" t="n"/>
      <c r="B185" s="53" t="n"/>
      <c r="C185" s="53" t="n"/>
      <c r="D185" s="5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  <c r="AA185" s="53" t="n"/>
      <c r="AB185" s="53" t="n"/>
      <c r="AC185" s="53" t="n"/>
      <c r="AD185" s="53" t="n"/>
    </row>
    <row r="186" ht="15.75" customHeight="1" s="62">
      <c r="A186" s="53" t="n"/>
      <c r="B186" s="53" t="n"/>
      <c r="C186" s="53" t="n"/>
      <c r="D186" s="5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  <c r="AA186" s="53" t="n"/>
      <c r="AB186" s="53" t="n"/>
      <c r="AC186" s="53" t="n"/>
      <c r="AD186" s="53" t="n"/>
    </row>
    <row r="187" ht="15.75" customHeight="1" s="62">
      <c r="A187" s="53" t="n"/>
      <c r="B187" s="53" t="n"/>
      <c r="C187" s="53" t="n"/>
      <c r="D187" s="5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  <c r="AA187" s="53" t="n"/>
      <c r="AB187" s="53" t="n"/>
      <c r="AC187" s="53" t="n"/>
      <c r="AD187" s="53" t="n"/>
    </row>
    <row r="188" ht="15.75" customHeight="1" s="62">
      <c r="A188" s="53" t="n"/>
      <c r="B188" s="53" t="n"/>
      <c r="C188" s="53" t="n"/>
      <c r="D188" s="5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  <c r="AA188" s="53" t="n"/>
      <c r="AB188" s="53" t="n"/>
      <c r="AC188" s="53" t="n"/>
      <c r="AD188" s="53" t="n"/>
    </row>
    <row r="189" ht="15.75" customHeight="1" s="62">
      <c r="A189" s="53" t="n"/>
      <c r="B189" s="53" t="n"/>
      <c r="C189" s="53" t="n"/>
      <c r="D189" s="5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  <c r="AA189" s="53" t="n"/>
      <c r="AB189" s="53" t="n"/>
      <c r="AC189" s="53" t="n"/>
      <c r="AD189" s="53" t="n"/>
    </row>
    <row r="190" ht="15.75" customHeight="1" s="62">
      <c r="A190" s="53" t="n"/>
      <c r="B190" s="53" t="n"/>
      <c r="C190" s="53" t="n"/>
      <c r="D190" s="5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  <c r="AA190" s="53" t="n"/>
      <c r="AB190" s="53" t="n"/>
      <c r="AC190" s="53" t="n"/>
      <c r="AD190" s="53" t="n"/>
    </row>
    <row r="191" ht="15.75" customHeight="1" s="62">
      <c r="A191" s="53" t="n"/>
      <c r="B191" s="53" t="n"/>
      <c r="C191" s="53" t="n"/>
      <c r="D191" s="5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  <c r="AA191" s="53" t="n"/>
      <c r="AB191" s="53" t="n"/>
      <c r="AC191" s="53" t="n"/>
      <c r="AD191" s="53" t="n"/>
    </row>
    <row r="192" ht="15.75" customHeight="1" s="62">
      <c r="A192" s="53" t="n"/>
      <c r="B192" s="53" t="n"/>
      <c r="C192" s="53" t="n"/>
      <c r="D192" s="5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  <c r="AA192" s="53" t="n"/>
      <c r="AB192" s="53" t="n"/>
      <c r="AC192" s="53" t="n"/>
      <c r="AD192" s="53" t="n"/>
    </row>
    <row r="193" ht="15.75" customHeight="1" s="62">
      <c r="A193" s="53" t="n"/>
      <c r="B193" s="53" t="n"/>
      <c r="C193" s="53" t="n"/>
      <c r="D193" s="5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  <c r="AA193" s="53" t="n"/>
      <c r="AB193" s="53" t="n"/>
      <c r="AC193" s="53" t="n"/>
      <c r="AD193" s="53" t="n"/>
    </row>
    <row r="194" ht="15.75" customHeight="1" s="62">
      <c r="A194" s="53" t="n"/>
      <c r="B194" s="53" t="n"/>
      <c r="C194" s="53" t="n"/>
      <c r="D194" s="5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  <c r="AA194" s="53" t="n"/>
      <c r="AB194" s="53" t="n"/>
      <c r="AC194" s="53" t="n"/>
      <c r="AD194" s="53" t="n"/>
    </row>
    <row r="195" ht="15.75" customHeight="1" s="62">
      <c r="A195" s="53" t="n"/>
      <c r="B195" s="53" t="n"/>
      <c r="C195" s="53" t="n"/>
      <c r="D195" s="5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  <c r="AA195" s="53" t="n"/>
      <c r="AB195" s="53" t="n"/>
      <c r="AC195" s="53" t="n"/>
      <c r="AD195" s="53" t="n"/>
    </row>
    <row r="196" ht="15.75" customHeight="1" s="62">
      <c r="A196" s="53" t="n"/>
      <c r="B196" s="53" t="n"/>
      <c r="C196" s="53" t="n"/>
      <c r="D196" s="5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  <c r="AA196" s="53" t="n"/>
      <c r="AB196" s="53" t="n"/>
      <c r="AC196" s="53" t="n"/>
      <c r="AD196" s="53" t="n"/>
    </row>
    <row r="197" ht="15.75" customHeight="1" s="62">
      <c r="A197" s="53" t="n"/>
      <c r="B197" s="53" t="n"/>
      <c r="C197" s="53" t="n"/>
      <c r="D197" s="5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  <c r="AA197" s="53" t="n"/>
      <c r="AB197" s="53" t="n"/>
      <c r="AC197" s="53" t="n"/>
      <c r="AD197" s="53" t="n"/>
    </row>
    <row r="198" ht="15.75" customHeight="1" s="62">
      <c r="A198" s="53" t="n"/>
      <c r="B198" s="53" t="n"/>
      <c r="C198" s="53" t="n"/>
      <c r="D198" s="5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  <c r="AA198" s="53" t="n"/>
      <c r="AB198" s="53" t="n"/>
      <c r="AC198" s="53" t="n"/>
      <c r="AD198" s="53" t="n"/>
    </row>
    <row r="199" ht="15.75" customHeight="1" s="62">
      <c r="A199" s="53" t="n"/>
      <c r="B199" s="53" t="n"/>
      <c r="C199" s="53" t="n"/>
      <c r="D199" s="5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  <c r="AA199" s="53" t="n"/>
      <c r="AB199" s="53" t="n"/>
      <c r="AC199" s="53" t="n"/>
      <c r="AD199" s="53" t="n"/>
    </row>
    <row r="200" ht="15.75" customHeight="1" s="62">
      <c r="A200" s="53" t="n"/>
      <c r="B200" s="53" t="n"/>
      <c r="C200" s="53" t="n"/>
      <c r="D200" s="5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  <c r="AA200" s="53" t="n"/>
      <c r="AB200" s="53" t="n"/>
      <c r="AC200" s="53" t="n"/>
      <c r="AD200" s="53" t="n"/>
    </row>
    <row r="201" ht="15.75" customHeight="1" s="62">
      <c r="A201" s="53" t="n"/>
      <c r="B201" s="53" t="n"/>
      <c r="C201" s="53" t="n"/>
      <c r="D201" s="5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  <c r="AA201" s="53" t="n"/>
      <c r="AB201" s="53" t="n"/>
      <c r="AC201" s="53" t="n"/>
      <c r="AD201" s="53" t="n"/>
    </row>
    <row r="202" ht="15.75" customHeight="1" s="62">
      <c r="A202" s="53" t="n"/>
      <c r="B202" s="53" t="n"/>
      <c r="C202" s="53" t="n"/>
      <c r="D202" s="5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  <c r="AA202" s="53" t="n"/>
      <c r="AB202" s="53" t="n"/>
      <c r="AC202" s="53" t="n"/>
      <c r="AD202" s="53" t="n"/>
    </row>
    <row r="203" ht="15.75" customHeight="1" s="62">
      <c r="A203" s="53" t="n"/>
      <c r="B203" s="53" t="n"/>
      <c r="C203" s="53" t="n"/>
      <c r="D203" s="5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  <c r="AA203" s="53" t="n"/>
      <c r="AB203" s="53" t="n"/>
      <c r="AC203" s="53" t="n"/>
      <c r="AD203" s="53" t="n"/>
    </row>
    <row r="204" ht="15.75" customHeight="1" s="62">
      <c r="A204" s="53" t="n"/>
      <c r="B204" s="53" t="n"/>
      <c r="C204" s="53" t="n"/>
      <c r="D204" s="5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  <c r="AA204" s="53" t="n"/>
      <c r="AB204" s="53" t="n"/>
      <c r="AC204" s="53" t="n"/>
      <c r="AD204" s="53" t="n"/>
    </row>
    <row r="205" ht="15.75" customHeight="1" s="62">
      <c r="A205" s="53" t="n"/>
      <c r="B205" s="53" t="n"/>
      <c r="C205" s="53" t="n"/>
      <c r="D205" s="5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  <c r="AA205" s="53" t="n"/>
      <c r="AB205" s="53" t="n"/>
      <c r="AC205" s="53" t="n"/>
      <c r="AD205" s="53" t="n"/>
    </row>
    <row r="206" ht="15.75" customHeight="1" s="62">
      <c r="A206" s="53" t="n"/>
      <c r="B206" s="53" t="n"/>
      <c r="C206" s="53" t="n"/>
      <c r="D206" s="5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  <c r="AA206" s="53" t="n"/>
      <c r="AB206" s="53" t="n"/>
      <c r="AC206" s="53" t="n"/>
      <c r="AD206" s="53" t="n"/>
    </row>
    <row r="207" ht="15.75" customHeight="1" s="62">
      <c r="A207" s="53" t="n"/>
      <c r="B207" s="53" t="n"/>
      <c r="C207" s="53" t="n"/>
      <c r="D207" s="5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  <c r="AA207" s="53" t="n"/>
      <c r="AB207" s="53" t="n"/>
      <c r="AC207" s="53" t="n"/>
      <c r="AD207" s="53" t="n"/>
    </row>
    <row r="208" ht="15.75" customHeight="1" s="62">
      <c r="A208" s="53" t="n"/>
      <c r="B208" s="53" t="n"/>
      <c r="C208" s="53" t="n"/>
      <c r="D208" s="5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  <c r="AA208" s="53" t="n"/>
      <c r="AB208" s="53" t="n"/>
      <c r="AC208" s="53" t="n"/>
      <c r="AD208" s="53" t="n"/>
    </row>
    <row r="209" ht="15.75" customHeight="1" s="62">
      <c r="A209" s="53" t="n"/>
      <c r="B209" s="53" t="n"/>
      <c r="C209" s="53" t="n"/>
      <c r="D209" s="5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  <c r="AA209" s="53" t="n"/>
      <c r="AB209" s="53" t="n"/>
      <c r="AC209" s="53" t="n"/>
      <c r="AD209" s="53" t="n"/>
    </row>
    <row r="210" ht="15.75" customHeight="1" s="62">
      <c r="A210" s="53" t="n"/>
      <c r="B210" s="53" t="n"/>
      <c r="C210" s="53" t="n"/>
      <c r="D210" s="5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  <c r="AA210" s="53" t="n"/>
      <c r="AB210" s="53" t="n"/>
      <c r="AC210" s="53" t="n"/>
      <c r="AD210" s="53" t="n"/>
    </row>
    <row r="211" ht="15.75" customHeight="1" s="62">
      <c r="A211" s="53" t="n"/>
      <c r="B211" s="53" t="n"/>
      <c r="C211" s="53" t="n"/>
      <c r="D211" s="5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  <c r="AA211" s="53" t="n"/>
      <c r="AB211" s="53" t="n"/>
      <c r="AC211" s="53" t="n"/>
      <c r="AD211" s="53" t="n"/>
    </row>
    <row r="212" ht="15.75" customHeight="1" s="62">
      <c r="A212" s="53" t="n"/>
      <c r="B212" s="53" t="n"/>
      <c r="C212" s="53" t="n"/>
      <c r="D212" s="5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  <c r="AA212" s="53" t="n"/>
      <c r="AB212" s="53" t="n"/>
      <c r="AC212" s="53" t="n"/>
      <c r="AD212" s="53" t="n"/>
    </row>
    <row r="213" ht="15.75" customHeight="1" s="62">
      <c r="A213" s="53" t="n"/>
      <c r="B213" s="53" t="n"/>
      <c r="C213" s="53" t="n"/>
      <c r="D213" s="5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  <c r="AA213" s="53" t="n"/>
      <c r="AB213" s="53" t="n"/>
      <c r="AC213" s="53" t="n"/>
      <c r="AD213" s="53" t="n"/>
    </row>
    <row r="214" ht="15.75" customHeight="1" s="62">
      <c r="A214" s="53" t="n"/>
      <c r="B214" s="53" t="n"/>
      <c r="C214" s="53" t="n"/>
      <c r="D214" s="5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  <c r="AA214" s="53" t="n"/>
      <c r="AB214" s="53" t="n"/>
      <c r="AC214" s="53" t="n"/>
      <c r="AD214" s="53" t="n"/>
    </row>
    <row r="215" ht="15.75" customHeight="1" s="62">
      <c r="A215" s="53" t="n"/>
      <c r="B215" s="53" t="n"/>
      <c r="C215" s="53" t="n"/>
      <c r="D215" s="5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  <c r="AA215" s="53" t="n"/>
      <c r="AB215" s="53" t="n"/>
      <c r="AC215" s="53" t="n"/>
      <c r="AD215" s="53" t="n"/>
    </row>
    <row r="216" ht="15.75" customHeight="1" s="62">
      <c r="A216" s="53" t="n"/>
      <c r="B216" s="53" t="n"/>
      <c r="C216" s="53" t="n"/>
      <c r="D216" s="5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  <c r="AA216" s="53" t="n"/>
      <c r="AB216" s="53" t="n"/>
      <c r="AC216" s="53" t="n"/>
      <c r="AD216" s="53" t="n"/>
    </row>
    <row r="217" ht="15.75" customHeight="1" s="62">
      <c r="A217" s="53" t="n"/>
      <c r="B217" s="53" t="n"/>
      <c r="C217" s="53" t="n"/>
      <c r="D217" s="5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  <c r="AA217" s="53" t="n"/>
      <c r="AB217" s="53" t="n"/>
      <c r="AC217" s="53" t="n"/>
      <c r="AD217" s="53" t="n"/>
    </row>
    <row r="218" ht="15.75" customHeight="1" s="62">
      <c r="A218" s="53" t="n"/>
      <c r="B218" s="53" t="n"/>
      <c r="C218" s="53" t="n"/>
      <c r="D218" s="5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  <c r="AA218" s="53" t="n"/>
      <c r="AB218" s="53" t="n"/>
      <c r="AC218" s="53" t="n"/>
      <c r="AD218" s="53" t="n"/>
    </row>
    <row r="219" ht="15.75" customHeight="1" s="62">
      <c r="A219" s="53" t="n"/>
      <c r="B219" s="53" t="n"/>
      <c r="C219" s="53" t="n"/>
      <c r="D219" s="5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  <c r="AA219" s="53" t="n"/>
      <c r="AB219" s="53" t="n"/>
      <c r="AC219" s="53" t="n"/>
      <c r="AD219" s="53" t="n"/>
    </row>
    <row r="220" ht="15.75" customHeight="1" s="62">
      <c r="A220" s="53" t="n"/>
      <c r="B220" s="53" t="n"/>
      <c r="C220" s="53" t="n"/>
      <c r="D220" s="5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  <c r="AA220" s="53" t="n"/>
      <c r="AB220" s="53" t="n"/>
      <c r="AC220" s="53" t="n"/>
      <c r="AD220" s="53" t="n"/>
    </row>
    <row r="221" ht="15.75" customHeight="1" s="62">
      <c r="A221" s="53" t="n"/>
      <c r="B221" s="53" t="n"/>
      <c r="C221" s="53" t="n"/>
      <c r="D221" s="5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  <c r="AA221" s="53" t="n"/>
      <c r="AB221" s="53" t="n"/>
      <c r="AC221" s="53" t="n"/>
      <c r="AD221" s="53" t="n"/>
    </row>
    <row r="222" ht="15.75" customHeight="1" s="62">
      <c r="A222" s="53" t="n"/>
      <c r="B222" s="53" t="n"/>
      <c r="C222" s="53" t="n"/>
      <c r="D222" s="5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  <c r="AA222" s="53" t="n"/>
      <c r="AB222" s="53" t="n"/>
      <c r="AC222" s="53" t="n"/>
      <c r="AD222" s="53" t="n"/>
    </row>
    <row r="223" ht="15.75" customHeight="1" s="62">
      <c r="A223" s="53" t="n"/>
      <c r="B223" s="53" t="n"/>
      <c r="C223" s="53" t="n"/>
      <c r="D223" s="5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  <c r="AA223" s="53" t="n"/>
      <c r="AB223" s="53" t="n"/>
      <c r="AC223" s="53" t="n"/>
      <c r="AD223" s="53" t="n"/>
    </row>
    <row r="224" ht="15.75" customHeight="1" s="62">
      <c r="A224" s="53" t="n"/>
      <c r="B224" s="53" t="n"/>
      <c r="C224" s="53" t="n"/>
      <c r="D224" s="5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  <c r="AA224" s="53" t="n"/>
      <c r="AB224" s="53" t="n"/>
      <c r="AC224" s="53" t="n"/>
      <c r="AD224" s="53" t="n"/>
    </row>
    <row r="225" ht="15.75" customHeight="1" s="62">
      <c r="A225" s="53" t="n"/>
      <c r="B225" s="53" t="n"/>
      <c r="C225" s="53" t="n"/>
      <c r="D225" s="5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  <c r="AA225" s="53" t="n"/>
      <c r="AB225" s="53" t="n"/>
      <c r="AC225" s="53" t="n"/>
      <c r="AD225" s="53" t="n"/>
    </row>
    <row r="226" ht="15.75" customHeight="1" s="62">
      <c r="A226" s="53" t="n"/>
      <c r="B226" s="53" t="n"/>
      <c r="C226" s="53" t="n"/>
      <c r="D226" s="5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  <c r="AA226" s="53" t="n"/>
      <c r="AB226" s="53" t="n"/>
      <c r="AC226" s="53" t="n"/>
      <c r="AD226" s="53" t="n"/>
    </row>
    <row r="227" ht="15.75" customHeight="1" s="62">
      <c r="A227" s="53" t="n"/>
      <c r="B227" s="53" t="n"/>
      <c r="C227" s="53" t="n"/>
      <c r="D227" s="5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  <c r="AA227" s="53" t="n"/>
      <c r="AB227" s="53" t="n"/>
      <c r="AC227" s="53" t="n"/>
      <c r="AD227" s="53" t="n"/>
    </row>
    <row r="228" ht="15.75" customHeight="1" s="62">
      <c r="A228" s="53" t="n"/>
      <c r="B228" s="53" t="n"/>
      <c r="C228" s="53" t="n"/>
      <c r="D228" s="5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  <c r="AA228" s="53" t="n"/>
      <c r="AB228" s="53" t="n"/>
      <c r="AC228" s="53" t="n"/>
      <c r="AD228" s="53" t="n"/>
    </row>
    <row r="229" ht="15.75" customHeight="1" s="62">
      <c r="A229" s="53" t="n"/>
      <c r="B229" s="53" t="n"/>
      <c r="C229" s="53" t="n"/>
      <c r="D229" s="5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  <c r="AA229" s="53" t="n"/>
      <c r="AB229" s="53" t="n"/>
      <c r="AC229" s="53" t="n"/>
      <c r="AD229" s="53" t="n"/>
    </row>
    <row r="230" ht="15.75" customHeight="1" s="62">
      <c r="A230" s="53" t="n"/>
      <c r="B230" s="53" t="n"/>
      <c r="C230" s="53" t="n"/>
      <c r="D230" s="5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  <c r="AA230" s="53" t="n"/>
      <c r="AB230" s="53" t="n"/>
      <c r="AC230" s="53" t="n"/>
      <c r="AD230" s="53" t="n"/>
    </row>
    <row r="231" ht="15.75" customHeight="1" s="62">
      <c r="A231" s="53" t="n"/>
      <c r="B231" s="53" t="n"/>
      <c r="C231" s="53" t="n"/>
      <c r="D231" s="5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  <c r="AA231" s="53" t="n"/>
      <c r="AB231" s="53" t="n"/>
      <c r="AC231" s="53" t="n"/>
      <c r="AD231" s="53" t="n"/>
    </row>
    <row r="232" ht="15.75" customHeight="1" s="62">
      <c r="A232" s="53" t="n"/>
      <c r="B232" s="53" t="n"/>
      <c r="C232" s="53" t="n"/>
      <c r="D232" s="5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  <c r="AA232" s="53" t="n"/>
      <c r="AB232" s="53" t="n"/>
      <c r="AC232" s="53" t="n"/>
      <c r="AD232" s="53" t="n"/>
    </row>
    <row r="233" ht="15.75" customHeight="1" s="62">
      <c r="A233" s="53" t="n"/>
      <c r="B233" s="53" t="n"/>
      <c r="C233" s="53" t="n"/>
      <c r="D233" s="5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  <c r="AA233" s="53" t="n"/>
      <c r="AB233" s="53" t="n"/>
      <c r="AC233" s="53" t="n"/>
      <c r="AD233" s="53" t="n"/>
    </row>
    <row r="234" ht="15.75" customHeight="1" s="62">
      <c r="A234" s="53" t="n"/>
      <c r="B234" s="53" t="n"/>
      <c r="C234" s="53" t="n"/>
      <c r="D234" s="5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  <c r="AA234" s="53" t="n"/>
      <c r="AB234" s="53" t="n"/>
      <c r="AC234" s="53" t="n"/>
      <c r="AD234" s="53" t="n"/>
    </row>
    <row r="235" ht="15.75" customHeight="1" s="62">
      <c r="A235" s="53" t="n"/>
      <c r="B235" s="53" t="n"/>
      <c r="C235" s="53" t="n"/>
      <c r="D235" s="5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  <c r="AA235" s="53" t="n"/>
      <c r="AB235" s="53" t="n"/>
      <c r="AC235" s="53" t="n"/>
      <c r="AD235" s="53" t="n"/>
    </row>
    <row r="236" ht="15.75" customHeight="1" s="62">
      <c r="A236" s="53" t="n"/>
      <c r="B236" s="53" t="n"/>
      <c r="C236" s="53" t="n"/>
      <c r="D236" s="5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  <c r="AA236" s="53" t="n"/>
      <c r="AB236" s="53" t="n"/>
      <c r="AC236" s="53" t="n"/>
      <c r="AD236" s="53" t="n"/>
    </row>
    <row r="237" ht="15.75" customHeight="1" s="62">
      <c r="A237" s="53" t="n"/>
      <c r="B237" s="53" t="n"/>
      <c r="C237" s="53" t="n"/>
      <c r="D237" s="5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  <c r="AA237" s="53" t="n"/>
      <c r="AB237" s="53" t="n"/>
      <c r="AC237" s="53" t="n"/>
      <c r="AD237" s="53" t="n"/>
    </row>
    <row r="238" ht="15.75" customHeight="1" s="62">
      <c r="A238" s="53" t="n"/>
      <c r="B238" s="53" t="n"/>
      <c r="C238" s="53" t="n"/>
      <c r="D238" s="5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  <c r="AA238" s="53" t="n"/>
      <c r="AB238" s="53" t="n"/>
      <c r="AC238" s="53" t="n"/>
      <c r="AD238" s="53" t="n"/>
    </row>
    <row r="239" ht="15.75" customHeight="1" s="62">
      <c r="A239" s="53" t="n"/>
      <c r="B239" s="53" t="n"/>
      <c r="C239" s="53" t="n"/>
      <c r="D239" s="5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  <c r="AA239" s="53" t="n"/>
      <c r="AB239" s="53" t="n"/>
      <c r="AC239" s="53" t="n"/>
      <c r="AD239" s="53" t="n"/>
    </row>
    <row r="240" ht="15.75" customHeight="1" s="62">
      <c r="A240" s="53" t="n"/>
      <c r="B240" s="53" t="n"/>
      <c r="C240" s="53" t="n"/>
      <c r="D240" s="5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  <c r="AA240" s="53" t="n"/>
      <c r="AB240" s="53" t="n"/>
      <c r="AC240" s="53" t="n"/>
      <c r="AD240" s="53" t="n"/>
    </row>
    <row r="241" ht="15.75" customHeight="1" s="62">
      <c r="A241" s="53" t="n"/>
      <c r="B241" s="53" t="n"/>
      <c r="C241" s="53" t="n"/>
      <c r="D241" s="5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  <c r="AA241" s="53" t="n"/>
      <c r="AB241" s="53" t="n"/>
      <c r="AC241" s="53" t="n"/>
      <c r="AD241" s="53" t="n"/>
    </row>
    <row r="242" ht="15.75" customHeight="1" s="62">
      <c r="A242" s="53" t="n"/>
      <c r="B242" s="53" t="n"/>
      <c r="C242" s="53" t="n"/>
      <c r="D242" s="5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  <c r="AA242" s="53" t="n"/>
      <c r="AB242" s="53" t="n"/>
      <c r="AC242" s="53" t="n"/>
      <c r="AD242" s="53" t="n"/>
    </row>
    <row r="243" ht="15.75" customHeight="1" s="62">
      <c r="A243" s="53" t="n"/>
      <c r="B243" s="53" t="n"/>
      <c r="C243" s="53" t="n"/>
      <c r="D243" s="5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  <c r="AA243" s="53" t="n"/>
      <c r="AB243" s="53" t="n"/>
      <c r="AC243" s="53" t="n"/>
      <c r="AD243" s="53" t="n"/>
    </row>
    <row r="244" ht="15.75" customHeight="1" s="62">
      <c r="A244" s="53" t="n"/>
      <c r="B244" s="53" t="n"/>
      <c r="C244" s="53" t="n"/>
      <c r="D244" s="5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  <c r="AA244" s="53" t="n"/>
      <c r="AB244" s="53" t="n"/>
      <c r="AC244" s="53" t="n"/>
      <c r="AD244" s="53" t="n"/>
    </row>
    <row r="245" ht="15.75" customHeight="1" s="62">
      <c r="A245" s="53" t="n"/>
      <c r="B245" s="53" t="n"/>
      <c r="C245" s="53" t="n"/>
      <c r="D245" s="5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  <c r="AA245" s="53" t="n"/>
      <c r="AB245" s="53" t="n"/>
      <c r="AC245" s="53" t="n"/>
      <c r="AD245" s="53" t="n"/>
    </row>
    <row r="246" ht="15.75" customHeight="1" s="62">
      <c r="A246" s="53" t="n"/>
      <c r="B246" s="53" t="n"/>
      <c r="C246" s="53" t="n"/>
      <c r="D246" s="5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  <c r="AA246" s="53" t="n"/>
      <c r="AB246" s="53" t="n"/>
      <c r="AC246" s="53" t="n"/>
      <c r="AD246" s="53" t="n"/>
    </row>
    <row r="247" ht="15.75" customHeight="1" s="62">
      <c r="A247" s="53" t="n"/>
      <c r="B247" s="53" t="n"/>
      <c r="C247" s="53" t="n"/>
      <c r="D247" s="5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  <c r="AA247" s="53" t="n"/>
      <c r="AB247" s="53" t="n"/>
      <c r="AC247" s="53" t="n"/>
      <c r="AD247" s="53" t="n"/>
    </row>
    <row r="248" ht="15.75" customHeight="1" s="62">
      <c r="A248" s="53" t="n"/>
      <c r="B248" s="53" t="n"/>
      <c r="C248" s="53" t="n"/>
      <c r="D248" s="5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  <c r="AA248" s="53" t="n"/>
      <c r="AB248" s="53" t="n"/>
      <c r="AC248" s="53" t="n"/>
      <c r="AD248" s="53" t="n"/>
    </row>
    <row r="249" ht="15.75" customHeight="1" s="62">
      <c r="A249" s="53" t="n"/>
      <c r="B249" s="53" t="n"/>
      <c r="C249" s="53" t="n"/>
      <c r="D249" s="5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  <c r="AA249" s="53" t="n"/>
      <c r="AB249" s="53" t="n"/>
      <c r="AC249" s="53" t="n"/>
      <c r="AD249" s="53" t="n"/>
    </row>
    <row r="250" ht="15.75" customHeight="1" s="62">
      <c r="A250" s="53" t="n"/>
      <c r="B250" s="53" t="n"/>
      <c r="C250" s="53" t="n"/>
      <c r="D250" s="5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  <c r="AA250" s="53" t="n"/>
      <c r="AB250" s="53" t="n"/>
      <c r="AC250" s="53" t="n"/>
      <c r="AD250" s="53" t="n"/>
    </row>
    <row r="251" ht="15.75" customHeight="1" s="62">
      <c r="A251" s="53" t="n"/>
      <c r="B251" s="53" t="n"/>
      <c r="C251" s="53" t="n"/>
      <c r="D251" s="5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  <c r="AA251" s="53" t="n"/>
      <c r="AB251" s="53" t="n"/>
      <c r="AC251" s="53" t="n"/>
      <c r="AD251" s="53" t="n"/>
    </row>
    <row r="252" ht="15.75" customHeight="1" s="62">
      <c r="A252" s="53" t="n"/>
      <c r="B252" s="53" t="n"/>
      <c r="C252" s="53" t="n"/>
      <c r="D252" s="5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  <c r="AA252" s="53" t="n"/>
      <c r="AB252" s="53" t="n"/>
      <c r="AC252" s="53" t="n"/>
      <c r="AD252" s="53" t="n"/>
    </row>
    <row r="253" ht="15.75" customHeight="1" s="62">
      <c r="A253" s="53" t="n"/>
      <c r="B253" s="53" t="n"/>
      <c r="C253" s="53" t="n"/>
      <c r="D253" s="5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  <c r="AA253" s="53" t="n"/>
      <c r="AB253" s="53" t="n"/>
      <c r="AC253" s="53" t="n"/>
      <c r="AD253" s="53" t="n"/>
    </row>
    <row r="254" ht="15.75" customHeight="1" s="62">
      <c r="A254" s="53" t="n"/>
      <c r="B254" s="53" t="n"/>
      <c r="C254" s="53" t="n"/>
      <c r="D254" s="5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  <c r="AA254" s="53" t="n"/>
      <c r="AB254" s="53" t="n"/>
      <c r="AC254" s="53" t="n"/>
      <c r="AD254" s="53" t="n"/>
    </row>
    <row r="255" ht="15.75" customHeight="1" s="62">
      <c r="A255" s="53" t="n"/>
      <c r="B255" s="53" t="n"/>
      <c r="C255" s="53" t="n"/>
      <c r="D255" s="5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  <c r="AA255" s="53" t="n"/>
      <c r="AB255" s="53" t="n"/>
      <c r="AC255" s="53" t="n"/>
      <c r="AD255" s="53" t="n"/>
    </row>
    <row r="256" ht="15.75" customHeight="1" s="62">
      <c r="A256" s="53" t="n"/>
      <c r="B256" s="53" t="n"/>
      <c r="C256" s="53" t="n"/>
      <c r="D256" s="5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  <c r="AA256" s="53" t="n"/>
      <c r="AB256" s="53" t="n"/>
      <c r="AC256" s="53" t="n"/>
      <c r="AD256" s="53" t="n"/>
    </row>
    <row r="257" ht="15.75" customHeight="1" s="62">
      <c r="A257" s="53" t="n"/>
      <c r="B257" s="53" t="n"/>
      <c r="C257" s="53" t="n"/>
      <c r="D257" s="5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  <c r="AA257" s="53" t="n"/>
      <c r="AB257" s="53" t="n"/>
      <c r="AC257" s="53" t="n"/>
      <c r="AD257" s="53" t="n"/>
    </row>
    <row r="258" ht="15.75" customHeight="1" s="62">
      <c r="A258" s="53" t="n"/>
      <c r="B258" s="53" t="n"/>
      <c r="C258" s="53" t="n"/>
      <c r="D258" s="5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  <c r="AA258" s="53" t="n"/>
      <c r="AB258" s="53" t="n"/>
      <c r="AC258" s="53" t="n"/>
      <c r="AD258" s="53" t="n"/>
    </row>
    <row r="259" ht="15.75" customHeight="1" s="62">
      <c r="A259" s="53" t="n"/>
      <c r="B259" s="53" t="n"/>
      <c r="C259" s="53" t="n"/>
      <c r="D259" s="5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  <c r="AA259" s="53" t="n"/>
      <c r="AB259" s="53" t="n"/>
      <c r="AC259" s="53" t="n"/>
      <c r="AD259" s="53" t="n"/>
    </row>
    <row r="260" ht="15.75" customHeight="1" s="62">
      <c r="A260" s="53" t="n"/>
      <c r="B260" s="53" t="n"/>
      <c r="C260" s="53" t="n"/>
      <c r="D260" s="5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  <c r="AA260" s="53" t="n"/>
      <c r="AB260" s="53" t="n"/>
      <c r="AC260" s="53" t="n"/>
      <c r="AD260" s="53" t="n"/>
    </row>
    <row r="261" ht="15.75" customHeight="1" s="62">
      <c r="A261" s="53" t="n"/>
      <c r="B261" s="53" t="n"/>
      <c r="C261" s="53" t="n"/>
      <c r="D261" s="5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  <c r="AA261" s="53" t="n"/>
      <c r="AB261" s="53" t="n"/>
      <c r="AC261" s="53" t="n"/>
      <c r="AD261" s="53" t="n"/>
    </row>
    <row r="262" ht="15.75" customHeight="1" s="62">
      <c r="A262" s="53" t="n"/>
      <c r="B262" s="53" t="n"/>
      <c r="C262" s="53" t="n"/>
      <c r="D262" s="5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  <c r="AA262" s="53" t="n"/>
      <c r="AB262" s="53" t="n"/>
      <c r="AC262" s="53" t="n"/>
      <c r="AD262" s="53" t="n"/>
    </row>
    <row r="263" ht="15.75" customHeight="1" s="62">
      <c r="A263" s="53" t="n"/>
      <c r="B263" s="53" t="n"/>
      <c r="C263" s="53" t="n"/>
      <c r="D263" s="5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  <c r="AA263" s="53" t="n"/>
      <c r="AB263" s="53" t="n"/>
      <c r="AC263" s="53" t="n"/>
      <c r="AD263" s="53" t="n"/>
    </row>
    <row r="264" ht="15.75" customHeight="1" s="62">
      <c r="A264" s="53" t="n"/>
      <c r="B264" s="53" t="n"/>
      <c r="C264" s="53" t="n"/>
      <c r="D264" s="5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  <c r="AA264" s="53" t="n"/>
      <c r="AB264" s="53" t="n"/>
      <c r="AC264" s="53" t="n"/>
      <c r="AD264" s="53" t="n"/>
    </row>
    <row r="265" ht="15.75" customHeight="1" s="62">
      <c r="A265" s="53" t="n"/>
      <c r="B265" s="53" t="n"/>
      <c r="C265" s="53" t="n"/>
      <c r="D265" s="5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  <c r="AA265" s="53" t="n"/>
      <c r="AB265" s="53" t="n"/>
      <c r="AC265" s="53" t="n"/>
      <c r="AD265" s="53" t="n"/>
    </row>
    <row r="266" ht="15.75" customHeight="1" s="62">
      <c r="A266" s="53" t="n"/>
      <c r="B266" s="53" t="n"/>
      <c r="C266" s="53" t="n"/>
      <c r="D266" s="5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  <c r="AA266" s="53" t="n"/>
      <c r="AB266" s="53" t="n"/>
      <c r="AC266" s="53" t="n"/>
      <c r="AD266" s="53" t="n"/>
    </row>
    <row r="267" ht="15.75" customHeight="1" s="62">
      <c r="A267" s="53" t="n"/>
      <c r="B267" s="53" t="n"/>
      <c r="C267" s="53" t="n"/>
      <c r="D267" s="5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  <c r="AA267" s="53" t="n"/>
      <c r="AB267" s="53" t="n"/>
      <c r="AC267" s="53" t="n"/>
      <c r="AD267" s="53" t="n"/>
    </row>
    <row r="268" ht="15.75" customHeight="1" s="62">
      <c r="A268" s="53" t="n"/>
      <c r="B268" s="53" t="n"/>
      <c r="C268" s="53" t="n"/>
      <c r="D268" s="5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  <c r="AA268" s="53" t="n"/>
      <c r="AB268" s="53" t="n"/>
      <c r="AC268" s="53" t="n"/>
      <c r="AD268" s="53" t="n"/>
    </row>
    <row r="269" ht="15.75" customHeight="1" s="62">
      <c r="A269" s="53" t="n"/>
      <c r="B269" s="53" t="n"/>
      <c r="C269" s="53" t="n"/>
      <c r="D269" s="5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  <c r="AA269" s="53" t="n"/>
      <c r="AB269" s="53" t="n"/>
      <c r="AC269" s="53" t="n"/>
      <c r="AD269" s="53" t="n"/>
    </row>
    <row r="270" ht="15.75" customHeight="1" s="62">
      <c r="A270" s="53" t="n"/>
      <c r="B270" s="53" t="n"/>
      <c r="C270" s="53" t="n"/>
      <c r="D270" s="5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  <c r="AA270" s="53" t="n"/>
      <c r="AB270" s="53" t="n"/>
      <c r="AC270" s="53" t="n"/>
      <c r="AD270" s="53" t="n"/>
    </row>
    <row r="271" ht="15.75" customHeight="1" s="62">
      <c r="A271" s="53" t="n"/>
      <c r="B271" s="53" t="n"/>
      <c r="C271" s="53" t="n"/>
      <c r="D271" s="5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  <c r="AA271" s="53" t="n"/>
      <c r="AB271" s="53" t="n"/>
      <c r="AC271" s="53" t="n"/>
      <c r="AD271" s="53" t="n"/>
    </row>
    <row r="272" ht="15.75" customHeight="1" s="62">
      <c r="A272" s="53" t="n"/>
      <c r="B272" s="53" t="n"/>
      <c r="C272" s="53" t="n"/>
      <c r="D272" s="5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  <c r="AA272" s="53" t="n"/>
      <c r="AB272" s="53" t="n"/>
      <c r="AC272" s="53" t="n"/>
      <c r="AD272" s="53" t="n"/>
    </row>
    <row r="273" ht="15.75" customHeight="1" s="62">
      <c r="A273" s="53" t="n"/>
      <c r="B273" s="53" t="n"/>
      <c r="C273" s="53" t="n"/>
      <c r="D273" s="5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  <c r="AA273" s="53" t="n"/>
      <c r="AB273" s="53" t="n"/>
      <c r="AC273" s="53" t="n"/>
      <c r="AD273" s="53" t="n"/>
    </row>
    <row r="274" ht="15.75" customHeight="1" s="62">
      <c r="A274" s="53" t="n"/>
      <c r="B274" s="53" t="n"/>
      <c r="C274" s="53" t="n"/>
      <c r="D274" s="5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  <c r="AA274" s="53" t="n"/>
      <c r="AB274" s="53" t="n"/>
      <c r="AC274" s="53" t="n"/>
      <c r="AD274" s="53" t="n"/>
    </row>
    <row r="275" ht="15.75" customHeight="1" s="62">
      <c r="A275" s="53" t="n"/>
      <c r="B275" s="53" t="n"/>
      <c r="C275" s="53" t="n"/>
      <c r="D275" s="5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  <c r="AA275" s="53" t="n"/>
      <c r="AB275" s="53" t="n"/>
      <c r="AC275" s="53" t="n"/>
      <c r="AD275" s="53" t="n"/>
    </row>
    <row r="276" ht="15.75" customHeight="1" s="62">
      <c r="A276" s="53" t="n"/>
      <c r="B276" s="53" t="n"/>
      <c r="C276" s="53" t="n"/>
      <c r="D276" s="5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  <c r="AA276" s="53" t="n"/>
      <c r="AB276" s="53" t="n"/>
      <c r="AC276" s="53" t="n"/>
      <c r="AD276" s="53" t="n"/>
    </row>
    <row r="277" ht="15.75" customHeight="1" s="62">
      <c r="A277" s="53" t="n"/>
      <c r="B277" s="53" t="n"/>
      <c r="C277" s="53" t="n"/>
      <c r="D277" s="5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  <c r="AA277" s="53" t="n"/>
      <c r="AB277" s="53" t="n"/>
      <c r="AC277" s="53" t="n"/>
      <c r="AD277" s="53" t="n"/>
    </row>
    <row r="278" ht="15.75" customHeight="1" s="62">
      <c r="A278" s="53" t="n"/>
      <c r="B278" s="53" t="n"/>
      <c r="C278" s="53" t="n"/>
      <c r="D278" s="5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  <c r="AA278" s="53" t="n"/>
      <c r="AB278" s="53" t="n"/>
      <c r="AC278" s="53" t="n"/>
      <c r="AD278" s="53" t="n"/>
    </row>
    <row r="279" ht="15.75" customHeight="1" s="62">
      <c r="A279" s="53" t="n"/>
      <c r="B279" s="53" t="n"/>
      <c r="C279" s="53" t="n"/>
      <c r="D279" s="5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  <c r="AA279" s="53" t="n"/>
      <c r="AB279" s="53" t="n"/>
      <c r="AC279" s="53" t="n"/>
      <c r="AD279" s="53" t="n"/>
    </row>
    <row r="280" ht="15.75" customHeight="1" s="62">
      <c r="A280" s="53" t="n"/>
      <c r="B280" s="53" t="n"/>
      <c r="C280" s="53" t="n"/>
      <c r="D280" s="5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  <c r="AA280" s="53" t="n"/>
      <c r="AB280" s="53" t="n"/>
      <c r="AC280" s="53" t="n"/>
      <c r="AD280" s="53" t="n"/>
    </row>
    <row r="281" ht="15.75" customHeight="1" s="62">
      <c r="A281" s="53" t="n"/>
      <c r="B281" s="53" t="n"/>
      <c r="C281" s="53" t="n"/>
      <c r="D281" s="5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  <c r="AA281" s="53" t="n"/>
      <c r="AB281" s="53" t="n"/>
      <c r="AC281" s="53" t="n"/>
      <c r="AD281" s="53" t="n"/>
    </row>
    <row r="282" ht="15.75" customHeight="1" s="62">
      <c r="A282" s="53" t="n"/>
      <c r="B282" s="53" t="n"/>
      <c r="C282" s="53" t="n"/>
      <c r="D282" s="5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  <c r="AA282" s="53" t="n"/>
      <c r="AB282" s="53" t="n"/>
      <c r="AC282" s="53" t="n"/>
      <c r="AD282" s="53" t="n"/>
    </row>
    <row r="283" ht="15.75" customHeight="1" s="62">
      <c r="A283" s="53" t="n"/>
      <c r="B283" s="53" t="n"/>
      <c r="C283" s="53" t="n"/>
      <c r="D283" s="5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  <c r="AA283" s="53" t="n"/>
      <c r="AB283" s="53" t="n"/>
      <c r="AC283" s="53" t="n"/>
      <c r="AD283" s="53" t="n"/>
    </row>
    <row r="284" ht="15.75" customHeight="1" s="62">
      <c r="A284" s="53" t="n"/>
      <c r="B284" s="53" t="n"/>
      <c r="C284" s="53" t="n"/>
      <c r="D284" s="5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  <c r="AA284" s="53" t="n"/>
      <c r="AB284" s="53" t="n"/>
      <c r="AC284" s="53" t="n"/>
      <c r="AD284" s="53" t="n"/>
    </row>
    <row r="285" ht="15.75" customHeight="1" s="62">
      <c r="A285" s="53" t="n"/>
      <c r="B285" s="53" t="n"/>
      <c r="C285" s="53" t="n"/>
      <c r="D285" s="5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  <c r="AA285" s="53" t="n"/>
      <c r="AB285" s="53" t="n"/>
      <c r="AC285" s="53" t="n"/>
      <c r="AD285" s="53" t="n"/>
    </row>
    <row r="286" ht="15.75" customHeight="1" s="62">
      <c r="A286" s="53" t="n"/>
      <c r="B286" s="53" t="n"/>
      <c r="C286" s="53" t="n"/>
      <c r="D286" s="5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  <c r="AA286" s="53" t="n"/>
      <c r="AB286" s="53" t="n"/>
      <c r="AC286" s="53" t="n"/>
      <c r="AD286" s="53" t="n"/>
    </row>
    <row r="287" ht="15.75" customHeight="1" s="62">
      <c r="A287" s="53" t="n"/>
      <c r="B287" s="53" t="n"/>
      <c r="C287" s="53" t="n"/>
      <c r="D287" s="5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  <c r="AA287" s="53" t="n"/>
      <c r="AB287" s="53" t="n"/>
      <c r="AC287" s="53" t="n"/>
      <c r="AD287" s="53" t="n"/>
    </row>
    <row r="288" ht="15.75" customHeight="1" s="62">
      <c r="A288" s="53" t="n"/>
      <c r="B288" s="53" t="n"/>
      <c r="C288" s="53" t="n"/>
      <c r="D288" s="5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  <c r="AA288" s="53" t="n"/>
      <c r="AB288" s="53" t="n"/>
      <c r="AC288" s="53" t="n"/>
      <c r="AD288" s="53" t="n"/>
    </row>
    <row r="289" ht="15.75" customHeight="1" s="62">
      <c r="A289" s="53" t="n"/>
      <c r="B289" s="53" t="n"/>
      <c r="C289" s="53" t="n"/>
      <c r="D289" s="5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  <c r="AA289" s="53" t="n"/>
      <c r="AB289" s="53" t="n"/>
      <c r="AC289" s="53" t="n"/>
      <c r="AD289" s="53" t="n"/>
    </row>
    <row r="290" ht="15.75" customHeight="1" s="62">
      <c r="A290" s="53" t="n"/>
      <c r="B290" s="53" t="n"/>
      <c r="C290" s="53" t="n"/>
      <c r="D290" s="5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  <c r="AA290" s="53" t="n"/>
      <c r="AB290" s="53" t="n"/>
      <c r="AC290" s="53" t="n"/>
      <c r="AD290" s="53" t="n"/>
    </row>
    <row r="291" ht="15.75" customHeight="1" s="62">
      <c r="A291" s="53" t="n"/>
      <c r="B291" s="53" t="n"/>
      <c r="C291" s="53" t="n"/>
      <c r="D291" s="5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  <c r="AA291" s="53" t="n"/>
      <c r="AB291" s="53" t="n"/>
      <c r="AC291" s="53" t="n"/>
      <c r="AD291" s="53" t="n"/>
    </row>
    <row r="292" ht="15.75" customHeight="1" s="62">
      <c r="A292" s="53" t="n"/>
      <c r="B292" s="53" t="n"/>
      <c r="C292" s="53" t="n"/>
      <c r="D292" s="5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  <c r="AA292" s="53" t="n"/>
      <c r="AB292" s="53" t="n"/>
      <c r="AC292" s="53" t="n"/>
      <c r="AD292" s="53" t="n"/>
    </row>
    <row r="293" ht="15.75" customHeight="1" s="62">
      <c r="A293" s="53" t="n"/>
      <c r="B293" s="53" t="n"/>
      <c r="C293" s="53" t="n"/>
      <c r="D293" s="5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  <c r="AA293" s="53" t="n"/>
      <c r="AB293" s="53" t="n"/>
      <c r="AC293" s="53" t="n"/>
      <c r="AD293" s="53" t="n"/>
    </row>
    <row r="294" ht="15.75" customHeight="1" s="62">
      <c r="A294" s="53" t="n"/>
      <c r="B294" s="53" t="n"/>
      <c r="C294" s="53" t="n"/>
      <c r="D294" s="5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  <c r="AA294" s="53" t="n"/>
      <c r="AB294" s="53" t="n"/>
      <c r="AC294" s="53" t="n"/>
      <c r="AD294" s="53" t="n"/>
    </row>
    <row r="295" ht="15.75" customHeight="1" s="62">
      <c r="A295" s="53" t="n"/>
      <c r="B295" s="53" t="n"/>
      <c r="C295" s="53" t="n"/>
      <c r="D295" s="5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  <c r="AA295" s="53" t="n"/>
      <c r="AB295" s="53" t="n"/>
      <c r="AC295" s="53" t="n"/>
      <c r="AD295" s="53" t="n"/>
    </row>
    <row r="296" ht="15.75" customHeight="1" s="62">
      <c r="A296" s="53" t="n"/>
      <c r="B296" s="53" t="n"/>
      <c r="C296" s="53" t="n"/>
      <c r="D296" s="5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  <c r="AA296" s="53" t="n"/>
      <c r="AB296" s="53" t="n"/>
      <c r="AC296" s="53" t="n"/>
      <c r="AD296" s="53" t="n"/>
    </row>
    <row r="297" ht="15.75" customHeight="1" s="62">
      <c r="A297" s="53" t="n"/>
      <c r="B297" s="53" t="n"/>
      <c r="C297" s="53" t="n"/>
      <c r="D297" s="5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  <c r="AA297" s="53" t="n"/>
      <c r="AB297" s="53" t="n"/>
      <c r="AC297" s="53" t="n"/>
      <c r="AD297" s="53" t="n"/>
    </row>
    <row r="298" ht="15.75" customHeight="1" s="62">
      <c r="A298" s="53" t="n"/>
      <c r="B298" s="53" t="n"/>
      <c r="C298" s="53" t="n"/>
      <c r="D298" s="5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  <c r="AA298" s="53" t="n"/>
      <c r="AB298" s="53" t="n"/>
      <c r="AC298" s="53" t="n"/>
      <c r="AD298" s="53" t="n"/>
    </row>
    <row r="299" ht="15.75" customHeight="1" s="62">
      <c r="A299" s="53" t="n"/>
      <c r="B299" s="53" t="n"/>
      <c r="C299" s="53" t="n"/>
      <c r="D299" s="5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  <c r="AA299" s="53" t="n"/>
      <c r="AB299" s="53" t="n"/>
      <c r="AC299" s="53" t="n"/>
      <c r="AD299" s="53" t="n"/>
    </row>
    <row r="300" ht="15.75" customHeight="1" s="62">
      <c r="A300" s="53" t="n"/>
      <c r="B300" s="53" t="n"/>
      <c r="C300" s="53" t="n"/>
      <c r="D300" s="5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  <c r="AA300" s="53" t="n"/>
      <c r="AB300" s="53" t="n"/>
      <c r="AC300" s="53" t="n"/>
      <c r="AD300" s="53" t="n"/>
    </row>
    <row r="301" ht="15.75" customHeight="1" s="62">
      <c r="A301" s="53" t="n"/>
      <c r="B301" s="53" t="n"/>
      <c r="C301" s="53" t="n"/>
      <c r="D301" s="5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  <c r="AA301" s="53" t="n"/>
      <c r="AB301" s="53" t="n"/>
      <c r="AC301" s="53" t="n"/>
      <c r="AD301" s="53" t="n"/>
    </row>
    <row r="302" ht="15.75" customHeight="1" s="62">
      <c r="A302" s="53" t="n"/>
      <c r="B302" s="53" t="n"/>
      <c r="C302" s="53" t="n"/>
      <c r="D302" s="5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  <c r="AA302" s="53" t="n"/>
      <c r="AB302" s="53" t="n"/>
      <c r="AC302" s="53" t="n"/>
      <c r="AD302" s="53" t="n"/>
    </row>
    <row r="303" ht="15.75" customHeight="1" s="62">
      <c r="A303" s="53" t="n"/>
      <c r="B303" s="53" t="n"/>
      <c r="C303" s="53" t="n"/>
      <c r="D303" s="5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  <c r="AA303" s="53" t="n"/>
      <c r="AB303" s="53" t="n"/>
      <c r="AC303" s="53" t="n"/>
      <c r="AD303" s="53" t="n"/>
    </row>
    <row r="304" ht="15.75" customHeight="1" s="62">
      <c r="A304" s="53" t="n"/>
      <c r="B304" s="53" t="n"/>
      <c r="C304" s="53" t="n"/>
      <c r="D304" s="5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  <c r="AA304" s="53" t="n"/>
      <c r="AB304" s="53" t="n"/>
      <c r="AC304" s="53" t="n"/>
      <c r="AD304" s="53" t="n"/>
    </row>
    <row r="305" ht="15.75" customHeight="1" s="62">
      <c r="A305" s="53" t="n"/>
      <c r="B305" s="53" t="n"/>
      <c r="C305" s="53" t="n"/>
      <c r="D305" s="5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  <c r="AA305" s="53" t="n"/>
      <c r="AB305" s="53" t="n"/>
      <c r="AC305" s="53" t="n"/>
      <c r="AD305" s="53" t="n"/>
    </row>
    <row r="306" ht="15.75" customHeight="1" s="62">
      <c r="A306" s="53" t="n"/>
      <c r="B306" s="53" t="n"/>
      <c r="C306" s="53" t="n"/>
      <c r="D306" s="5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  <c r="AA306" s="53" t="n"/>
      <c r="AB306" s="53" t="n"/>
      <c r="AC306" s="53" t="n"/>
      <c r="AD306" s="53" t="n"/>
    </row>
    <row r="307" ht="15.75" customHeight="1" s="62">
      <c r="A307" s="53" t="n"/>
      <c r="B307" s="53" t="n"/>
      <c r="C307" s="53" t="n"/>
      <c r="D307" s="5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  <c r="AA307" s="53" t="n"/>
      <c r="AB307" s="53" t="n"/>
      <c r="AC307" s="53" t="n"/>
      <c r="AD307" s="53" t="n"/>
    </row>
    <row r="308" ht="15.75" customHeight="1" s="62">
      <c r="A308" s="53" t="n"/>
      <c r="B308" s="53" t="n"/>
      <c r="C308" s="53" t="n"/>
      <c r="D308" s="5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  <c r="AA308" s="53" t="n"/>
      <c r="AB308" s="53" t="n"/>
      <c r="AC308" s="53" t="n"/>
      <c r="AD308" s="53" t="n"/>
    </row>
    <row r="309" ht="15.75" customHeight="1" s="62">
      <c r="A309" s="53" t="n"/>
      <c r="B309" s="53" t="n"/>
      <c r="C309" s="53" t="n"/>
      <c r="D309" s="5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  <c r="AA309" s="53" t="n"/>
      <c r="AB309" s="53" t="n"/>
      <c r="AC309" s="53" t="n"/>
      <c r="AD309" s="53" t="n"/>
    </row>
    <row r="310" ht="15.75" customHeight="1" s="62">
      <c r="A310" s="53" t="n"/>
      <c r="B310" s="53" t="n"/>
      <c r="C310" s="53" t="n"/>
      <c r="D310" s="5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  <c r="AA310" s="53" t="n"/>
      <c r="AB310" s="53" t="n"/>
      <c r="AC310" s="53" t="n"/>
      <c r="AD310" s="53" t="n"/>
    </row>
    <row r="311" ht="15.75" customHeight="1" s="62">
      <c r="A311" s="53" t="n"/>
      <c r="B311" s="53" t="n"/>
      <c r="C311" s="53" t="n"/>
      <c r="D311" s="5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  <c r="AA311" s="53" t="n"/>
      <c r="AB311" s="53" t="n"/>
      <c r="AC311" s="53" t="n"/>
      <c r="AD311" s="53" t="n"/>
    </row>
    <row r="312" ht="15.75" customHeight="1" s="62">
      <c r="A312" s="53" t="n"/>
      <c r="B312" s="53" t="n"/>
      <c r="C312" s="53" t="n"/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</row>
    <row r="313" ht="15.75" customHeight="1" s="62">
      <c r="A313" s="53" t="n"/>
      <c r="B313" s="53" t="n"/>
      <c r="C313" s="53" t="n"/>
      <c r="D313" s="5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  <c r="AA313" s="53" t="n"/>
      <c r="AB313" s="53" t="n"/>
      <c r="AC313" s="53" t="n"/>
      <c r="AD313" s="53" t="n"/>
    </row>
    <row r="314" ht="15.75" customHeight="1" s="62">
      <c r="A314" s="53" t="n"/>
      <c r="B314" s="53" t="n"/>
      <c r="C314" s="53" t="n"/>
      <c r="D314" s="5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  <c r="AA314" s="53" t="n"/>
      <c r="AB314" s="53" t="n"/>
      <c r="AC314" s="53" t="n"/>
      <c r="AD314" s="53" t="n"/>
    </row>
    <row r="315" ht="15.75" customHeight="1" s="62">
      <c r="A315" s="53" t="n"/>
      <c r="B315" s="53" t="n"/>
      <c r="C315" s="53" t="n"/>
      <c r="D315" s="5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  <c r="AA315" s="53" t="n"/>
      <c r="AB315" s="53" t="n"/>
      <c r="AC315" s="53" t="n"/>
      <c r="AD315" s="53" t="n"/>
    </row>
    <row r="316" ht="15.75" customHeight="1" s="62">
      <c r="A316" s="53" t="n"/>
      <c r="B316" s="53" t="n"/>
      <c r="C316" s="53" t="n"/>
      <c r="D316" s="5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  <c r="AA316" s="53" t="n"/>
      <c r="AB316" s="53" t="n"/>
      <c r="AC316" s="53" t="n"/>
      <c r="AD316" s="53" t="n"/>
    </row>
    <row r="317" ht="15.75" customHeight="1" s="62">
      <c r="A317" s="53" t="n"/>
      <c r="B317" s="53" t="n"/>
      <c r="C317" s="53" t="n"/>
      <c r="D317" s="5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  <c r="AA317" s="53" t="n"/>
      <c r="AB317" s="53" t="n"/>
      <c r="AC317" s="53" t="n"/>
      <c r="AD317" s="53" t="n"/>
    </row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mergeCells count="52">
    <mergeCell ref="L75:L76"/>
    <mergeCell ref="N75:N76"/>
    <mergeCell ref="H82:K83"/>
    <mergeCell ref="A82:B82"/>
    <mergeCell ref="AD1:AD2"/>
    <mergeCell ref="Z75:Z76"/>
    <mergeCell ref="I75:I76"/>
    <mergeCell ref="K75:K76"/>
    <mergeCell ref="AB75:AB76"/>
    <mergeCell ref="A79:B79"/>
    <mergeCell ref="E77:G77"/>
    <mergeCell ref="F80:F85"/>
    <mergeCell ref="L1:N1"/>
    <mergeCell ref="O75:O76"/>
    <mergeCell ref="U75:U76"/>
    <mergeCell ref="W75:W76"/>
    <mergeCell ref="F75:F76"/>
    <mergeCell ref="I1:K1"/>
    <mergeCell ref="AA75:AA76"/>
    <mergeCell ref="A84:B84"/>
    <mergeCell ref="A80:B80"/>
    <mergeCell ref="M75:M76"/>
    <mergeCell ref="E1:G1"/>
    <mergeCell ref="Z1:AB1"/>
    <mergeCell ref="P75:P76"/>
    <mergeCell ref="H84:K85"/>
    <mergeCell ref="R75:R76"/>
    <mergeCell ref="S1:U1"/>
    <mergeCell ref="J75:J76"/>
    <mergeCell ref="H80:K81"/>
    <mergeCell ref="V75:V76"/>
    <mergeCell ref="E75:E76"/>
    <mergeCell ref="A75:C76"/>
    <mergeCell ref="X75:X76"/>
    <mergeCell ref="A85:B85"/>
    <mergeCell ref="L77:N77"/>
    <mergeCell ref="A77:C77"/>
    <mergeCell ref="V1:Y1"/>
    <mergeCell ref="T75:T76"/>
    <mergeCell ref="H75:H76"/>
    <mergeCell ref="O1:R1"/>
    <mergeCell ref="I77:K77"/>
    <mergeCell ref="O77:Q77"/>
    <mergeCell ref="Z77:AB77"/>
    <mergeCell ref="Q75:Q76"/>
    <mergeCell ref="G75:G76"/>
    <mergeCell ref="S75:S76"/>
    <mergeCell ref="Y75:Y76"/>
    <mergeCell ref="A81:B81"/>
    <mergeCell ref="S77:U77"/>
    <mergeCell ref="A83:B83"/>
    <mergeCell ref="V77:X7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2026-07-20T12:26:47Z</dcterms:created>
  <dcterms:modified xsi:type="dcterms:W3CDTF">2026-07-20T12:26:47Z</dcterms:modified>
</cp:coreProperties>
</file>