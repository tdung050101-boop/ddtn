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2" sheetId="1" r:id="rId5"/>
  </sheets>
  <definedNames/>
  <calcPr/>
</workbook>
</file>

<file path=xl/sharedStrings.xml><?xml version="1.0" encoding="utf-8"?>
<sst xmlns="http://schemas.openxmlformats.org/spreadsheetml/2006/main" count="152" uniqueCount="117">
  <si>
    <t xml:space="preserve"> </t>
  </si>
  <si>
    <t>Thứ 2</t>
  </si>
  <si>
    <t>Thứ 3</t>
  </si>
  <si>
    <t>Thứ 4</t>
  </si>
  <si>
    <t>Thứ 5</t>
  </si>
  <si>
    <t>Thứ 6</t>
  </si>
  <si>
    <t>Thứ Bảy</t>
  </si>
  <si>
    <t>Chủ Nhật</t>
  </si>
  <si>
    <t>Số KNB
 Được Nhận</t>
  </si>
  <si>
    <t>STT</t>
  </si>
  <si>
    <t>Tên Nhân Vật</t>
  </si>
  <si>
    <t>Môn phái</t>
  </si>
  <si>
    <t>BOSS 12H</t>
  </si>
  <si>
    <t>TIÊU 8H</t>
  </si>
  <si>
    <t>BOSS 10H</t>
  </si>
  <si>
    <t>Liên Đài</t>
  </si>
  <si>
    <t>BOS 10H</t>
  </si>
  <si>
    <t>BOSS 22H</t>
  </si>
  <si>
    <t>Tiêu 8h</t>
  </si>
  <si>
    <t>Boss 22h</t>
  </si>
  <si>
    <t>CTC</t>
  </si>
  <si>
    <t>Số HĐ Từng Thành Viên</t>
  </si>
  <si>
    <t>Tuấn- elizabeo</t>
  </si>
  <si>
    <t>TVB</t>
  </si>
  <si>
    <t>TC - 1danh2chay</t>
  </si>
  <si>
    <t>MINH KHÔI- 1ĐaoĐoạtHồn</t>
  </si>
  <si>
    <t>Tiến Thành - STxNgaoThien</t>
  </si>
  <si>
    <t>Trầnminh - StxShank</t>
  </si>
  <si>
    <t>San Tro- San Tro</t>
  </si>
  <si>
    <t>T Nguyễn - ANH4CAK</t>
  </si>
  <si>
    <t>TL</t>
  </si>
  <si>
    <t>Văn Đạt- SSatthan</t>
  </si>
  <si>
    <t>Huy Đỗ- NhồiMáuCơTim</t>
  </si>
  <si>
    <t>DM</t>
  </si>
  <si>
    <t>Phongt -SBTC-TGC</t>
  </si>
  <si>
    <t>Nhất Nam - 15cm</t>
  </si>
  <si>
    <t>Thành Lê- Béokk</t>
  </si>
  <si>
    <t>Hoà Phan-BABIPY</t>
  </si>
  <si>
    <t>Phi Hải -  A HYRE</t>
  </si>
  <si>
    <t>Công - Thập Phong</t>
  </si>
  <si>
    <t>Tong - StxZed</t>
  </si>
  <si>
    <t>Phúc Lộc Thọ - ANMAY</t>
  </si>
  <si>
    <t>Lữ Đạt - LệPhiVũ</t>
  </si>
  <si>
    <t>5DOC</t>
  </si>
  <si>
    <t>Phạm HÀ - Quang Hà</t>
  </si>
  <si>
    <t>TYD</t>
  </si>
  <si>
    <t>Rôn- SUPERGOLD</t>
  </si>
  <si>
    <t>Chánh Huy- zPháQuânz</t>
  </si>
  <si>
    <t>Vũ Luân- Lamgiaochu</t>
  </si>
  <si>
    <t>TYSD</t>
  </si>
  <si>
    <t>Khanh Dang - Công Chúa Đá</t>
  </si>
  <si>
    <t>Vit- dauxanh</t>
  </si>
  <si>
    <t>NM</t>
  </si>
  <si>
    <t>TrânHa - Stx114</t>
  </si>
  <si>
    <t>Go- Chị5Bướm</t>
  </si>
  <si>
    <t>TN</t>
  </si>
  <si>
    <t>Đại ca - Ku e chaitim</t>
  </si>
  <si>
    <t>CBR</t>
  </si>
  <si>
    <t>Nguyễn Lộc - Hạc Lão</t>
  </si>
  <si>
    <t>CLS</t>
  </si>
  <si>
    <t>Minh Thành- Chị3Zú</t>
  </si>
  <si>
    <t>Manifest- manifest</t>
  </si>
  <si>
    <t>Lâm Nguyễn - Luxubu</t>
  </si>
  <si>
    <t>Trần phương - xX Tôn Lò Xx</t>
  </si>
  <si>
    <t>Ng Tiến Dũng - Dư Đấu</t>
  </si>
  <si>
    <t>Lâm Trọng Nhân - Pé Thơm</t>
  </si>
  <si>
    <t xml:space="preserve"> Lâm Trọng Nghĩa - Bé Pự Peru</t>
  </si>
  <si>
    <t>Nguyễn Văn Anh - Bảo Châu</t>
  </si>
  <si>
    <t>Thắng - MẠNH THIÊN CHÍNH</t>
  </si>
  <si>
    <t>Hoàng Đức - SamAngel</t>
  </si>
  <si>
    <t>RFANG</t>
  </si>
  <si>
    <t>Sales - Cheo Cheo</t>
  </si>
  <si>
    <t>Trung Tú- TieuThuAnhNhu</t>
  </si>
  <si>
    <t>Nguyễn Huy- xxxxxxxxxxanh7</t>
  </si>
  <si>
    <t>Lê Hải - zBúnĐậuz</t>
  </si>
  <si>
    <t>Dũng - LýAnhSan</t>
  </si>
  <si>
    <t xml:space="preserve">Bảo An - ZzKimSatzZ  </t>
  </si>
  <si>
    <t xml:space="preserve">Duy Luận - QWERTS </t>
  </si>
  <si>
    <t>dtcmv- dglcvihdt</t>
  </si>
  <si>
    <t>Tuấn TRần - xxxxxxxanh4</t>
  </si>
  <si>
    <t>Ngọc Nhiên Acc: MecBaCac</t>
  </si>
  <si>
    <t>Nguyen Ngoc Cường  - Anh7Hàng To</t>
  </si>
  <si>
    <t xml:space="preserve"> Mã Tấn An - Mã Công Tử</t>
  </si>
  <si>
    <t>Thành Long - LuKaMuSic</t>
  </si>
  <si>
    <t>Nam Bảo - ZAnh 3 Chà Cú</t>
  </si>
  <si>
    <t>Tèo tây nguyên- tieulyphilong</t>
  </si>
  <si>
    <t>Hoang Sang - Hikori</t>
  </si>
  <si>
    <t>Jiu Chill - BichGiao</t>
  </si>
  <si>
    <t>Lê Thanh Phong - ltphong</t>
  </si>
  <si>
    <t>Sói - Nữ Qủy</t>
  </si>
  <si>
    <t>Nguyên Phước - Lạc Phàm</t>
  </si>
  <si>
    <t>Văn An - EmBanTáo0</t>
  </si>
  <si>
    <t>Hoàng Lê - YanhSao</t>
  </si>
  <si>
    <t>Kiên Trọc - Đao c10</t>
  </si>
  <si>
    <t>Nguyễn Kim Cư - vlvolam1</t>
  </si>
  <si>
    <t>Lê Đỗ - TàuAnhQuaNúi</t>
  </si>
  <si>
    <t>Song Ngư - 2 CON CA</t>
  </si>
  <si>
    <t>7kav -  Thuỷ Thánh</t>
  </si>
  <si>
    <t>KuCoLong</t>
  </si>
  <si>
    <t>Thái - Nghĩ Mãi K Ra</t>
  </si>
  <si>
    <t>Lê Hoàng Long - Cậu 3 ƠI</t>
  </si>
  <si>
    <t>Kim Trường Sơn - 79BéChiêu</t>
  </si>
  <si>
    <t>Bánh Tráng Tấn Lộc - 70CủMì</t>
  </si>
  <si>
    <t>Van Gioi- Lao Tru</t>
  </si>
  <si>
    <t>Số Người Tham Gia Hoạt Động</t>
  </si>
  <si>
    <t>Tổng Số công
 Tham Gia HĐ</t>
  </si>
  <si>
    <t>Tổng số KNB phát</t>
  </si>
  <si>
    <t>KNB Thu Được Hàng Ngày</t>
  </si>
  <si>
    <t>Tổng KNB thu về trong tuần:</t>
  </si>
  <si>
    <t>Lương Soái</t>
  </si>
  <si>
    <t>Ghi chú</t>
  </si>
  <si>
    <t>Lương Thủ quỹ</t>
  </si>
  <si>
    <t>Trích 30% bỏ vào quỹ bang:</t>
  </si>
  <si>
    <t>Số KNB còn lại để phát lương:</t>
  </si>
  <si>
    <t>Tổng số lần tham gia hoạt động</t>
  </si>
  <si>
    <t>Hệ số lương / 1 lần tham gia hđ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</si>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</sst>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3.0"/>
      <color theme="1"/>
      <name val="Calibri"/>
    </font>
    <font>
      <b/>
      <sz val="12.0"/>
      <color rgb="FFFF0000"/>
      <name val="Arial"/>
    </font>
    <font>
      <b/>
      <sz val="13.0"/>
      <color rgb="FF081B3A"/>
      <name val="Calibri"/>
    </font>
    <font>
      <b/>
      <sz val="12.0"/>
      <color rgb="FF000000"/>
      <name val="Arial"/>
    </font>
    <font>
      <b/>
      <sz val="13.0"/>
      <color rgb="FF000000"/>
      <name val="Calibri"/>
    </font>
    <font>
      <color theme="1"/>
      <name val="Arial"/>
    </font>
    <font>
      <color rgb="FFFF0000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434343"/>
      </right>
      <bottom style="medium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6" fillId="2" fontId="1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8" fillId="0" fontId="2" numFmtId="0" xfId="0" applyBorder="1" applyFont="1"/>
    <xf borderId="3" fillId="3" fontId="1" numFmtId="0" xfId="0" applyAlignment="1" applyBorder="1" applyFill="1" applyFont="1">
      <alignment readingOrder="0" vertical="bottom"/>
    </xf>
    <xf borderId="9" fillId="4" fontId="3" numFmtId="0" xfId="0" applyAlignment="1" applyBorder="1" applyFill="1" applyFont="1">
      <alignment vertical="bottom"/>
    </xf>
    <xf borderId="3" fillId="4" fontId="1" numFmtId="0" xfId="0" applyAlignment="1" applyBorder="1" applyFont="1">
      <alignment horizontal="center" vertical="bottom"/>
    </xf>
    <xf borderId="3" fillId="5" fontId="1" numFmtId="0" xfId="0" applyAlignment="1" applyBorder="1" applyFill="1" applyFont="1">
      <alignment vertical="bottom"/>
    </xf>
    <xf borderId="3" fillId="5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10" fillId="4" fontId="3" numFmtId="0" xfId="0" applyAlignment="1" applyBorder="1" applyFont="1">
      <alignment vertical="bottom"/>
    </xf>
    <xf borderId="11" fillId="4" fontId="3" numFmtId="0" xfId="0" applyAlignment="1" applyBorder="1" applyFont="1">
      <alignment vertical="bottom"/>
    </xf>
    <xf borderId="3" fillId="6" fontId="1" numFmtId="0" xfId="0" applyAlignment="1" applyBorder="1" applyFill="1" applyFont="1">
      <alignment horizontal="center" vertical="bottom"/>
    </xf>
    <xf borderId="12" fillId="4" fontId="3" numFmtId="0" xfId="0" applyAlignment="1" applyBorder="1" applyFont="1">
      <alignment vertical="bottom"/>
    </xf>
    <xf borderId="6" fillId="6" fontId="1" numFmtId="0" xfId="0" applyAlignment="1" applyBorder="1" applyFont="1">
      <alignment horizontal="center" vertical="bottom"/>
    </xf>
    <xf borderId="3" fillId="7" fontId="1" numFmtId="0" xfId="0" applyAlignment="1" applyBorder="1" applyFill="1" applyFont="1">
      <alignment horizontal="center" vertical="bottom"/>
    </xf>
    <xf borderId="3" fillId="8" fontId="1" numFmtId="0" xfId="0" applyAlignment="1" applyBorder="1" applyFill="1" applyFont="1">
      <alignment horizontal="center" vertical="bottom"/>
    </xf>
    <xf borderId="3" fillId="9" fontId="1" numFmtId="0" xfId="0" applyAlignment="1" applyBorder="1" applyFill="1" applyFont="1">
      <alignment horizontal="center" vertical="bottom"/>
    </xf>
    <xf borderId="3" fillId="10" fontId="1" numFmtId="0" xfId="0" applyAlignment="1" applyBorder="1" applyFill="1" applyFont="1">
      <alignment horizontal="center" vertical="bottom"/>
    </xf>
    <xf borderId="0" fillId="4" fontId="5" numFmtId="0" xfId="0" applyFont="1"/>
    <xf borderId="13" fillId="3" fontId="6" numFmtId="0" xfId="0" applyBorder="1" applyFont="1"/>
    <xf borderId="12" fillId="4" fontId="7" numFmtId="0" xfId="0" applyBorder="1" applyFont="1"/>
    <xf borderId="6" fillId="5" fontId="1" numFmtId="0" xfId="0" applyAlignment="1" applyBorder="1" applyFont="1">
      <alignment vertical="bottom"/>
    </xf>
    <xf borderId="14" fillId="3" fontId="6" numFmtId="0" xfId="0" applyBorder="1" applyFont="1"/>
    <xf borderId="0" fillId="4" fontId="7" numFmtId="0" xfId="0" applyFont="1"/>
    <xf borderId="3" fillId="3" fontId="6" numFmtId="0" xfId="0" applyBorder="1" applyFont="1"/>
    <xf borderId="15" fillId="0" fontId="1" numFmtId="0" xfId="0" applyAlignment="1" applyBorder="1" applyFont="1">
      <alignment horizontal="center"/>
    </xf>
    <xf borderId="16" fillId="0" fontId="2" numFmtId="0" xfId="0" applyBorder="1" applyFont="1"/>
    <xf borderId="2" fillId="0" fontId="2" numFmtId="0" xfId="0" applyBorder="1" applyFont="1"/>
    <xf borderId="3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/>
    </xf>
    <xf borderId="3" fillId="0" fontId="1" numFmtId="0" xfId="0" applyBorder="1" applyFont="1"/>
    <xf borderId="4" fillId="0" fontId="1" numFmtId="0" xfId="0" applyBorder="1" applyFont="1"/>
    <xf borderId="3" fillId="0" fontId="1" numFmtId="0" xfId="0" applyAlignment="1" applyBorder="1" applyFont="1">
      <alignment vertical="bottom"/>
    </xf>
    <xf borderId="0" fillId="11" fontId="8" numFmtId="0" xfId="0" applyAlignment="1" applyFill="1" applyFont="1">
      <alignment vertical="bottom"/>
    </xf>
    <xf borderId="17" fillId="4" fontId="8" numFmtId="0" xfId="0" applyAlignment="1" applyBorder="1" applyFont="1">
      <alignment horizontal="center" vertical="bottom"/>
    </xf>
    <xf borderId="7" fillId="4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4" fillId="4" fontId="8" numFmtId="0" xfId="0" applyAlignment="1" applyBorder="1" applyFont="1">
      <alignment horizontal="center" vertical="bottom"/>
    </xf>
    <xf borderId="7" fillId="4" fontId="9" numFmtId="0" xfId="0" applyAlignment="1" applyBorder="1" applyFont="1">
      <alignment horizontal="center" vertical="bottom"/>
    </xf>
    <xf borderId="1" fillId="4" fontId="10" numFmtId="0" xfId="0" applyAlignment="1" applyBorder="1" applyFont="1">
      <alignment horizontal="center"/>
    </xf>
    <xf borderId="3" fillId="4" fontId="8" numFmtId="0" xfId="0" applyAlignment="1" applyBorder="1" applyFont="1">
      <alignment vertical="bottom"/>
    </xf>
    <xf borderId="15" fillId="4" fontId="10" numFmtId="0" xfId="0" applyBorder="1" applyFont="1"/>
    <xf borderId="19" fillId="0" fontId="2" numFmtId="0" xfId="0" applyBorder="1" applyFont="1"/>
    <xf borderId="3" fillId="4" fontId="9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rang tính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C3:AC74" displayName="Table_1" name="Table_1" id="1">
  <tableColumns count="1">
    <tableColumn name="Column1" id="1"/>
  </tableColumns>
  <tableStyleInfo name="Trang tính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1.25"/>
    <col customWidth="1" min="3" max="7" width="12.63"/>
    <col customWidth="1" min="28" max="28" width="15.0"/>
    <col customWidth="1" min="29" max="29" width="11.88"/>
  </cols>
  <sheetData>
    <row r="1">
      <c r="A1" s="1"/>
      <c r="B1" s="1" t="s">
        <v>0</v>
      </c>
      <c r="C1" s="2"/>
      <c r="D1" s="3"/>
      <c r="E1" s="4" t="s">
        <v>1</v>
      </c>
      <c r="F1" s="5"/>
      <c r="G1" s="6"/>
      <c r="H1" s="7"/>
      <c r="I1" s="8" t="s">
        <v>2</v>
      </c>
      <c r="J1" s="5"/>
      <c r="K1" s="6"/>
      <c r="L1" s="8" t="s">
        <v>3</v>
      </c>
      <c r="M1" s="5"/>
      <c r="N1" s="6"/>
      <c r="O1" s="8" t="s">
        <v>4</v>
      </c>
      <c r="P1" s="5"/>
      <c r="Q1" s="5"/>
      <c r="R1" s="6"/>
      <c r="S1" s="8" t="s">
        <v>5</v>
      </c>
      <c r="T1" s="5"/>
      <c r="U1" s="6"/>
      <c r="V1" s="8" t="s">
        <v>6</v>
      </c>
      <c r="W1" s="5"/>
      <c r="X1" s="5"/>
      <c r="Y1" s="6"/>
      <c r="Z1" s="8" t="s">
        <v>7</v>
      </c>
      <c r="AA1" s="5"/>
      <c r="AB1" s="6"/>
      <c r="AC1" s="1"/>
      <c r="AD1" s="9" t="s">
        <v>8</v>
      </c>
    </row>
    <row r="2">
      <c r="A2" s="10" t="s">
        <v>9</v>
      </c>
      <c r="B2" s="9" t="s">
        <v>10</v>
      </c>
      <c r="C2" s="11" t="s">
        <v>11</v>
      </c>
      <c r="D2" s="12"/>
      <c r="E2" s="13" t="s">
        <v>12</v>
      </c>
      <c r="F2" s="13" t="s">
        <v>13</v>
      </c>
      <c r="G2" s="13" t="s">
        <v>14</v>
      </c>
      <c r="H2" s="13" t="s">
        <v>15</v>
      </c>
      <c r="I2" s="13" t="s">
        <v>12</v>
      </c>
      <c r="J2" s="13" t="s">
        <v>13</v>
      </c>
      <c r="K2" s="13" t="s">
        <v>16</v>
      </c>
      <c r="L2" s="13" t="s">
        <v>12</v>
      </c>
      <c r="M2" s="13" t="s">
        <v>13</v>
      </c>
      <c r="N2" s="13" t="s">
        <v>14</v>
      </c>
      <c r="O2" s="13" t="s">
        <v>12</v>
      </c>
      <c r="P2" s="13" t="s">
        <v>13</v>
      </c>
      <c r="Q2" s="13" t="s">
        <v>17</v>
      </c>
      <c r="R2" s="13" t="s">
        <v>15</v>
      </c>
      <c r="S2" s="13" t="s">
        <v>12</v>
      </c>
      <c r="T2" s="13" t="s">
        <v>18</v>
      </c>
      <c r="U2" s="13" t="s">
        <v>19</v>
      </c>
      <c r="V2" s="13" t="s">
        <v>12</v>
      </c>
      <c r="W2" s="13" t="s">
        <v>13</v>
      </c>
      <c r="X2" s="13" t="s">
        <v>17</v>
      </c>
      <c r="Y2" s="13" t="s">
        <v>20</v>
      </c>
      <c r="Z2" s="13" t="s">
        <v>12</v>
      </c>
      <c r="AA2" s="13" t="s">
        <v>17</v>
      </c>
      <c r="AB2" s="13" t="s">
        <v>13</v>
      </c>
      <c r="AC2" s="9" t="s">
        <v>21</v>
      </c>
      <c r="AD2" s="14"/>
    </row>
    <row r="3">
      <c r="A3" s="15">
        <v>1.0</v>
      </c>
      <c r="B3" s="16" t="s">
        <v>22</v>
      </c>
      <c r="C3" s="17" t="s">
        <v>23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9">
        <f t="shared" ref="AC3:AC74" si="1">sum(E3:AB3)</f>
        <v>0</v>
      </c>
      <c r="AD3" s="20" t="str">
        <f t="shared" ref="AD3:AD74" si="2">ROUNDDOWN(IF($C$83&gt;0,$C$83/$AC$76*AC3,0),0)</f>
        <v>#DIV/0!</v>
      </c>
    </row>
    <row r="4">
      <c r="A4" s="15">
        <v>2.0</v>
      </c>
      <c r="B4" s="16" t="s">
        <v>24</v>
      </c>
      <c r="C4" s="17" t="s">
        <v>23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9">
        <f t="shared" si="1"/>
        <v>0</v>
      </c>
      <c r="AD4" s="20" t="str">
        <f t="shared" si="2"/>
        <v>#DIV/0!</v>
      </c>
    </row>
    <row r="5">
      <c r="A5" s="15">
        <v>3.0</v>
      </c>
      <c r="B5" s="16" t="s">
        <v>25</v>
      </c>
      <c r="C5" s="17" t="s">
        <v>23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9">
        <f t="shared" si="1"/>
        <v>0</v>
      </c>
      <c r="AD5" s="20" t="str">
        <f t="shared" si="2"/>
        <v>#DIV/0!</v>
      </c>
    </row>
    <row r="6">
      <c r="A6" s="15">
        <v>4.0</v>
      </c>
      <c r="B6" s="16" t="s">
        <v>26</v>
      </c>
      <c r="C6" s="17" t="s">
        <v>23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9">
        <f t="shared" si="1"/>
        <v>0</v>
      </c>
      <c r="AD6" s="20" t="str">
        <f t="shared" si="2"/>
        <v>#DIV/0!</v>
      </c>
    </row>
    <row r="7">
      <c r="A7" s="15">
        <v>5.0</v>
      </c>
      <c r="B7" s="21" t="s">
        <v>27</v>
      </c>
      <c r="C7" s="17" t="s">
        <v>23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9">
        <f t="shared" si="1"/>
        <v>0</v>
      </c>
      <c r="AD7" s="20" t="str">
        <f t="shared" si="2"/>
        <v>#DIV/0!</v>
      </c>
    </row>
    <row r="8">
      <c r="A8" s="15">
        <v>6.0</v>
      </c>
      <c r="B8" s="16" t="s">
        <v>28</v>
      </c>
      <c r="C8" s="17" t="s">
        <v>23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9">
        <f t="shared" si="1"/>
        <v>0</v>
      </c>
      <c r="AD8" s="20" t="str">
        <f t="shared" si="2"/>
        <v>#DIV/0!</v>
      </c>
    </row>
    <row r="9">
      <c r="A9" s="15">
        <v>7.0</v>
      </c>
      <c r="B9" s="16" t="s">
        <v>29</v>
      </c>
      <c r="C9" s="17" t="s">
        <v>30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9">
        <f t="shared" si="1"/>
        <v>0</v>
      </c>
      <c r="AD9" s="20" t="str">
        <f t="shared" si="2"/>
        <v>#DIV/0!</v>
      </c>
    </row>
    <row r="10">
      <c r="A10" s="15">
        <v>8.0</v>
      </c>
      <c r="B10" s="22" t="s">
        <v>31</v>
      </c>
      <c r="C10" s="17" t="s">
        <v>30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9">
        <f t="shared" si="1"/>
        <v>0</v>
      </c>
      <c r="AD10" s="20" t="str">
        <f t="shared" si="2"/>
        <v>#DIV/0!</v>
      </c>
    </row>
    <row r="11">
      <c r="A11" s="15">
        <v>9.0</v>
      </c>
      <c r="B11" s="16" t="s">
        <v>32</v>
      </c>
      <c r="C11" s="23" t="s">
        <v>33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9">
        <f t="shared" si="1"/>
        <v>0</v>
      </c>
      <c r="AD11" s="20" t="str">
        <f t="shared" si="2"/>
        <v>#DIV/0!</v>
      </c>
    </row>
    <row r="12">
      <c r="A12" s="15">
        <v>10.0</v>
      </c>
      <c r="B12" s="16" t="s">
        <v>34</v>
      </c>
      <c r="C12" s="23" t="s">
        <v>33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9">
        <f t="shared" si="1"/>
        <v>0</v>
      </c>
      <c r="AD12" s="20" t="str">
        <f t="shared" si="2"/>
        <v>#DIV/0!</v>
      </c>
    </row>
    <row r="13">
      <c r="A13" s="15">
        <v>11.0</v>
      </c>
      <c r="B13" s="16" t="s">
        <v>35</v>
      </c>
      <c r="C13" s="23" t="s">
        <v>33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9">
        <f t="shared" si="1"/>
        <v>0</v>
      </c>
      <c r="AD13" s="20" t="str">
        <f t="shared" si="2"/>
        <v>#DIV/0!</v>
      </c>
    </row>
    <row r="14">
      <c r="A14" s="15">
        <v>12.0</v>
      </c>
      <c r="B14" s="16" t="s">
        <v>36</v>
      </c>
      <c r="C14" s="23" t="s">
        <v>33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9">
        <f t="shared" si="1"/>
        <v>0</v>
      </c>
      <c r="AD14" s="20" t="str">
        <f t="shared" si="2"/>
        <v>#DIV/0!</v>
      </c>
    </row>
    <row r="15">
      <c r="A15" s="15">
        <v>13.0</v>
      </c>
      <c r="B15" s="22" t="s">
        <v>37</v>
      </c>
      <c r="C15" s="23" t="s">
        <v>33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9">
        <f t="shared" si="1"/>
        <v>0</v>
      </c>
      <c r="AD15" s="20" t="str">
        <f t="shared" si="2"/>
        <v>#DIV/0!</v>
      </c>
    </row>
    <row r="16">
      <c r="A16" s="15">
        <v>14.0</v>
      </c>
      <c r="B16" s="24" t="s">
        <v>38</v>
      </c>
      <c r="C16" s="25" t="s">
        <v>33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9">
        <f t="shared" si="1"/>
        <v>0</v>
      </c>
      <c r="AD16" s="20" t="str">
        <f t="shared" si="2"/>
        <v>#DIV/0!</v>
      </c>
    </row>
    <row r="17">
      <c r="A17" s="15">
        <v>15.0</v>
      </c>
      <c r="B17" s="24" t="s">
        <v>39</v>
      </c>
      <c r="C17" s="25" t="s">
        <v>33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9">
        <f t="shared" si="1"/>
        <v>0</v>
      </c>
      <c r="AD17" s="20" t="str">
        <f t="shared" si="2"/>
        <v>#DIV/0!</v>
      </c>
    </row>
    <row r="18">
      <c r="A18" s="15">
        <v>16.0</v>
      </c>
      <c r="B18" s="22" t="s">
        <v>40</v>
      </c>
      <c r="C18" s="23" t="s">
        <v>33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9">
        <f t="shared" si="1"/>
        <v>0</v>
      </c>
      <c r="AD18" s="20" t="str">
        <f t="shared" si="2"/>
        <v>#DIV/0!</v>
      </c>
    </row>
    <row r="19">
      <c r="A19" s="15">
        <v>17.0</v>
      </c>
      <c r="B19" s="16" t="s">
        <v>41</v>
      </c>
      <c r="C19" s="23" t="s">
        <v>33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9">
        <f t="shared" si="1"/>
        <v>0</v>
      </c>
      <c r="AD19" s="20" t="str">
        <f t="shared" si="2"/>
        <v>#DIV/0!</v>
      </c>
    </row>
    <row r="20">
      <c r="A20" s="15">
        <v>18.0</v>
      </c>
      <c r="B20" s="16" t="s">
        <v>42</v>
      </c>
      <c r="C20" s="23" t="s">
        <v>43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9">
        <f t="shared" si="1"/>
        <v>0</v>
      </c>
      <c r="AD20" s="20" t="str">
        <f t="shared" si="2"/>
        <v>#DIV/0!</v>
      </c>
    </row>
    <row r="21" ht="15.75" customHeight="1">
      <c r="A21" s="15">
        <v>19.0</v>
      </c>
      <c r="B21" s="16" t="s">
        <v>44</v>
      </c>
      <c r="C21" s="26" t="s">
        <v>45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9">
        <f t="shared" si="1"/>
        <v>0</v>
      </c>
      <c r="AD21" s="20" t="str">
        <f t="shared" si="2"/>
        <v>#DIV/0!</v>
      </c>
    </row>
    <row r="22" ht="15.75" customHeight="1">
      <c r="A22" s="15">
        <v>20.0</v>
      </c>
      <c r="B22" s="16" t="s">
        <v>46</v>
      </c>
      <c r="C22" s="27" t="s">
        <v>45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9">
        <f t="shared" si="1"/>
        <v>0</v>
      </c>
      <c r="AD22" s="20" t="str">
        <f t="shared" si="2"/>
        <v>#DIV/0!</v>
      </c>
    </row>
    <row r="23" ht="15.75" customHeight="1">
      <c r="A23" s="15">
        <v>21.0</v>
      </c>
      <c r="B23" s="16" t="s">
        <v>47</v>
      </c>
      <c r="C23" s="27" t="s">
        <v>45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9">
        <f t="shared" si="1"/>
        <v>0</v>
      </c>
      <c r="AD23" s="20" t="str">
        <f t="shared" si="2"/>
        <v>#DIV/0!</v>
      </c>
    </row>
    <row r="24" ht="15.75" customHeight="1">
      <c r="A24" s="15">
        <v>22.0</v>
      </c>
      <c r="B24" s="22" t="s">
        <v>48</v>
      </c>
      <c r="C24" s="27" t="s">
        <v>49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9">
        <f t="shared" si="1"/>
        <v>0</v>
      </c>
      <c r="AD24" s="20" t="str">
        <f t="shared" si="2"/>
        <v>#DIV/0!</v>
      </c>
    </row>
    <row r="25" ht="15.75" customHeight="1">
      <c r="A25" s="15">
        <v>23.0</v>
      </c>
      <c r="B25" s="16" t="s">
        <v>50</v>
      </c>
      <c r="C25" s="27" t="s">
        <v>45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9">
        <f t="shared" si="1"/>
        <v>0</v>
      </c>
      <c r="AD25" s="20" t="str">
        <f t="shared" si="2"/>
        <v>#DIV/0!</v>
      </c>
    </row>
    <row r="26" ht="15.75" customHeight="1">
      <c r="A26" s="15">
        <v>24.0</v>
      </c>
      <c r="B26" s="22" t="s">
        <v>51</v>
      </c>
      <c r="C26" s="27" t="s">
        <v>52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9">
        <f t="shared" si="1"/>
        <v>0</v>
      </c>
      <c r="AD26" s="20" t="str">
        <f t="shared" si="2"/>
        <v>#DIV/0!</v>
      </c>
    </row>
    <row r="27" ht="15.75" customHeight="1">
      <c r="A27" s="15">
        <v>25.0</v>
      </c>
      <c r="B27" s="16" t="s">
        <v>53</v>
      </c>
      <c r="C27" s="27" t="s">
        <v>52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9">
        <f t="shared" si="1"/>
        <v>0</v>
      </c>
      <c r="AD27" s="20" t="str">
        <f t="shared" si="2"/>
        <v>#DIV/0!</v>
      </c>
    </row>
    <row r="28" ht="15.75" customHeight="1">
      <c r="A28" s="15">
        <v>26.0</v>
      </c>
      <c r="B28" s="16" t="s">
        <v>54</v>
      </c>
      <c r="C28" s="28" t="s">
        <v>55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9">
        <f t="shared" si="1"/>
        <v>0</v>
      </c>
      <c r="AD28" s="20" t="str">
        <f t="shared" si="2"/>
        <v>#DIV/0!</v>
      </c>
    </row>
    <row r="29" ht="15.75" customHeight="1">
      <c r="A29" s="15">
        <v>27.0</v>
      </c>
      <c r="B29" s="16" t="s">
        <v>56</v>
      </c>
      <c r="C29" s="28" t="s">
        <v>57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9">
        <f t="shared" si="1"/>
        <v>0</v>
      </c>
      <c r="AD29" s="20" t="str">
        <f t="shared" si="2"/>
        <v>#DIV/0!</v>
      </c>
    </row>
    <row r="30" ht="15.75" customHeight="1">
      <c r="A30" s="15">
        <v>28.0</v>
      </c>
      <c r="B30" s="16" t="s">
        <v>58</v>
      </c>
      <c r="C30" s="29" t="s">
        <v>59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9">
        <f t="shared" si="1"/>
        <v>0</v>
      </c>
      <c r="AD30" s="20" t="str">
        <f t="shared" si="2"/>
        <v>#DIV/0!</v>
      </c>
    </row>
    <row r="31" ht="15.75" customHeight="1">
      <c r="A31" s="15">
        <v>29.0</v>
      </c>
      <c r="B31" s="16" t="s">
        <v>60</v>
      </c>
      <c r="C31" s="29" t="s">
        <v>59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9">
        <f t="shared" si="1"/>
        <v>0</v>
      </c>
      <c r="AD31" s="20" t="str">
        <f t="shared" si="2"/>
        <v>#DIV/0!</v>
      </c>
    </row>
    <row r="32" ht="15.75" customHeight="1">
      <c r="A32" s="15">
        <v>30.0</v>
      </c>
      <c r="B32" s="16" t="s">
        <v>61</v>
      </c>
      <c r="C32" s="29" t="s">
        <v>59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9">
        <f t="shared" si="1"/>
        <v>0</v>
      </c>
      <c r="AD32" s="20" t="str">
        <f t="shared" si="2"/>
        <v>#DIV/0!</v>
      </c>
    </row>
    <row r="33" ht="15.75" customHeight="1">
      <c r="A33" s="15">
        <v>31.0</v>
      </c>
      <c r="B33" s="22" t="s">
        <v>62</v>
      </c>
      <c r="C33" s="23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9">
        <f t="shared" si="1"/>
        <v>0</v>
      </c>
      <c r="AD33" s="20" t="str">
        <f t="shared" si="2"/>
        <v>#DIV/0!</v>
      </c>
    </row>
    <row r="34" ht="15.75" customHeight="1">
      <c r="A34" s="15">
        <v>32.0</v>
      </c>
      <c r="B34" s="30" t="s">
        <v>63</v>
      </c>
      <c r="C34" s="31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9">
        <f t="shared" si="1"/>
        <v>0</v>
      </c>
      <c r="AD34" s="20" t="str">
        <f t="shared" si="2"/>
        <v>#DIV/0!</v>
      </c>
    </row>
    <row r="35" ht="15.75" customHeight="1">
      <c r="A35" s="15">
        <v>33.0</v>
      </c>
      <c r="B35" s="32" t="s">
        <v>64</v>
      </c>
      <c r="C35" s="31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9">
        <f t="shared" si="1"/>
        <v>0</v>
      </c>
      <c r="AD35" s="20" t="str">
        <f t="shared" si="2"/>
        <v>#DIV/0!</v>
      </c>
    </row>
    <row r="36" ht="15.75" customHeight="1">
      <c r="A36" s="15">
        <v>34.0</v>
      </c>
      <c r="B36" s="32" t="s">
        <v>65</v>
      </c>
      <c r="C36" s="31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9">
        <f t="shared" si="1"/>
        <v>0</v>
      </c>
      <c r="AD36" s="20" t="str">
        <f t="shared" si="2"/>
        <v>#DIV/0!</v>
      </c>
    </row>
    <row r="37" ht="15.75" customHeight="1">
      <c r="A37" s="15">
        <v>35.0</v>
      </c>
      <c r="B37" s="32" t="s">
        <v>66</v>
      </c>
      <c r="C37" s="31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9">
        <f t="shared" si="1"/>
        <v>0</v>
      </c>
      <c r="AD37" s="20" t="str">
        <f t="shared" si="2"/>
        <v>#DIV/0!</v>
      </c>
    </row>
    <row r="38" ht="15.75" customHeight="1">
      <c r="A38" s="15">
        <v>36.0</v>
      </c>
      <c r="B38" s="32" t="s">
        <v>67</v>
      </c>
      <c r="C38" s="31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9">
        <f t="shared" si="1"/>
        <v>0</v>
      </c>
      <c r="AD38" s="20" t="str">
        <f t="shared" si="2"/>
        <v>#DIV/0!</v>
      </c>
    </row>
    <row r="39" ht="15.75" customHeight="1">
      <c r="A39" s="15">
        <v>37.0</v>
      </c>
      <c r="B39" s="32" t="s">
        <v>68</v>
      </c>
      <c r="C39" s="31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9">
        <f t="shared" si="1"/>
        <v>0</v>
      </c>
      <c r="AD39" s="20" t="str">
        <f t="shared" si="2"/>
        <v>#DIV/0!</v>
      </c>
    </row>
    <row r="40" ht="15.75" customHeight="1">
      <c r="A40" s="15">
        <v>38.0</v>
      </c>
      <c r="B40" s="32" t="s">
        <v>69</v>
      </c>
      <c r="C40" s="31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9">
        <f t="shared" si="1"/>
        <v>0</v>
      </c>
      <c r="AD40" s="20" t="str">
        <f t="shared" si="2"/>
        <v>#DIV/0!</v>
      </c>
    </row>
    <row r="41" ht="15.75" customHeight="1">
      <c r="A41" s="15">
        <v>39.0</v>
      </c>
      <c r="B41" s="32" t="s">
        <v>70</v>
      </c>
      <c r="C41" s="31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9">
        <f t="shared" si="1"/>
        <v>0</v>
      </c>
      <c r="AD41" s="20" t="str">
        <f t="shared" si="2"/>
        <v>#DIV/0!</v>
      </c>
    </row>
    <row r="42" ht="15.75" customHeight="1">
      <c r="A42" s="15">
        <v>40.0</v>
      </c>
      <c r="B42" s="32" t="s">
        <v>71</v>
      </c>
      <c r="C42" s="31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9">
        <f t="shared" si="1"/>
        <v>0</v>
      </c>
      <c r="AD42" s="20" t="str">
        <f t="shared" si="2"/>
        <v>#DIV/0!</v>
      </c>
    </row>
    <row r="43" ht="15.75" customHeight="1">
      <c r="A43" s="15">
        <v>41.0</v>
      </c>
      <c r="B43" s="32" t="s">
        <v>72</v>
      </c>
      <c r="C43" s="31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9">
        <f t="shared" si="1"/>
        <v>0</v>
      </c>
      <c r="AD43" s="20" t="str">
        <f t="shared" si="2"/>
        <v>#DIV/0!</v>
      </c>
    </row>
    <row r="44" ht="15.75" customHeight="1">
      <c r="A44" s="15">
        <v>42.0</v>
      </c>
      <c r="B44" s="32" t="s">
        <v>73</v>
      </c>
      <c r="C44" s="31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9">
        <f t="shared" si="1"/>
        <v>0</v>
      </c>
      <c r="AD44" s="20" t="str">
        <f t="shared" si="2"/>
        <v>#DIV/0!</v>
      </c>
    </row>
    <row r="45" ht="15.75" customHeight="1">
      <c r="A45" s="15">
        <v>43.0</v>
      </c>
      <c r="B45" s="32" t="s">
        <v>74</v>
      </c>
      <c r="C45" s="31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9">
        <f t="shared" si="1"/>
        <v>0</v>
      </c>
      <c r="AD45" s="20" t="str">
        <f t="shared" si="2"/>
        <v>#DIV/0!</v>
      </c>
    </row>
    <row r="46" ht="15.75" customHeight="1">
      <c r="A46" s="15">
        <v>44.0</v>
      </c>
      <c r="B46" s="24" t="s">
        <v>75</v>
      </c>
      <c r="C46" s="31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9">
        <f t="shared" si="1"/>
        <v>0</v>
      </c>
      <c r="AD46" s="20" t="str">
        <f t="shared" si="2"/>
        <v>#DIV/0!</v>
      </c>
    </row>
    <row r="47" ht="15.75" customHeight="1">
      <c r="A47" s="15">
        <v>45.0</v>
      </c>
      <c r="B47" s="24" t="s">
        <v>76</v>
      </c>
      <c r="C47" s="31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9">
        <f t="shared" si="1"/>
        <v>0</v>
      </c>
      <c r="AD47" s="20" t="str">
        <f t="shared" si="2"/>
        <v>#DIV/0!</v>
      </c>
    </row>
    <row r="48" ht="16.5" customHeight="1">
      <c r="A48" s="15">
        <v>46.0</v>
      </c>
      <c r="B48" s="24" t="s">
        <v>77</v>
      </c>
      <c r="C48" s="31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9">
        <f t="shared" si="1"/>
        <v>0</v>
      </c>
      <c r="AD48" s="20" t="str">
        <f t="shared" si="2"/>
        <v>#DIV/0!</v>
      </c>
    </row>
    <row r="49" ht="16.5" customHeight="1">
      <c r="A49" s="15">
        <v>47.0</v>
      </c>
      <c r="B49" s="24" t="s">
        <v>78</v>
      </c>
      <c r="C49" s="31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9">
        <f t="shared" si="1"/>
        <v>0</v>
      </c>
      <c r="AD49" s="20" t="str">
        <f t="shared" si="2"/>
        <v>#DIV/0!</v>
      </c>
    </row>
    <row r="50" ht="16.5" customHeight="1">
      <c r="A50" s="15">
        <v>48.0</v>
      </c>
      <c r="B50" s="24" t="s">
        <v>79</v>
      </c>
      <c r="C50" s="31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9">
        <f t="shared" si="1"/>
        <v>0</v>
      </c>
      <c r="AD50" s="20" t="str">
        <f t="shared" si="2"/>
        <v>#DIV/0!</v>
      </c>
    </row>
    <row r="51" ht="16.5" customHeight="1">
      <c r="A51" s="15">
        <v>49.0</v>
      </c>
      <c r="B51" s="24" t="s">
        <v>80</v>
      </c>
      <c r="C51" s="31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9">
        <f t="shared" si="1"/>
        <v>0</v>
      </c>
      <c r="AD51" s="20" t="str">
        <f t="shared" si="2"/>
        <v>#DIV/0!</v>
      </c>
    </row>
    <row r="52" ht="16.5" customHeight="1">
      <c r="A52" s="15">
        <v>50.0</v>
      </c>
      <c r="B52" s="24" t="s">
        <v>81</v>
      </c>
      <c r="C52" s="31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9">
        <f t="shared" si="1"/>
        <v>0</v>
      </c>
      <c r="AD52" s="20" t="str">
        <f t="shared" si="2"/>
        <v>#DIV/0!</v>
      </c>
    </row>
    <row r="53" ht="16.5" customHeight="1">
      <c r="A53" s="15">
        <v>51.0</v>
      </c>
      <c r="B53" s="24" t="s">
        <v>82</v>
      </c>
      <c r="C53" s="31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9">
        <f t="shared" si="1"/>
        <v>0</v>
      </c>
      <c r="AD53" s="20" t="str">
        <f t="shared" si="2"/>
        <v>#DIV/0!</v>
      </c>
    </row>
    <row r="54" ht="16.5" customHeight="1">
      <c r="A54" s="15">
        <v>52.0</v>
      </c>
      <c r="B54" s="24" t="s">
        <v>83</v>
      </c>
      <c r="C54" s="31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9">
        <f t="shared" si="1"/>
        <v>0</v>
      </c>
      <c r="AD54" s="20" t="str">
        <f t="shared" si="2"/>
        <v>#DIV/0!</v>
      </c>
    </row>
    <row r="55" ht="16.5" customHeight="1">
      <c r="A55" s="15">
        <v>53.0</v>
      </c>
      <c r="B55" s="24" t="s">
        <v>84</v>
      </c>
      <c r="C55" s="31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9">
        <f t="shared" si="1"/>
        <v>0</v>
      </c>
      <c r="AD55" s="20" t="str">
        <f t="shared" si="2"/>
        <v>#DIV/0!</v>
      </c>
    </row>
    <row r="56" ht="16.5" customHeight="1">
      <c r="A56" s="15">
        <v>54.0</v>
      </c>
      <c r="B56" s="24" t="s">
        <v>85</v>
      </c>
      <c r="C56" s="31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9">
        <f t="shared" si="1"/>
        <v>0</v>
      </c>
      <c r="AD56" s="20" t="str">
        <f t="shared" si="2"/>
        <v>#DIV/0!</v>
      </c>
    </row>
    <row r="57" ht="16.5" customHeight="1">
      <c r="A57" s="15">
        <v>55.0</v>
      </c>
      <c r="B57" s="24" t="s">
        <v>86</v>
      </c>
      <c r="C57" s="31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9">
        <f t="shared" si="1"/>
        <v>0</v>
      </c>
      <c r="AD57" s="20" t="str">
        <f t="shared" si="2"/>
        <v>#DIV/0!</v>
      </c>
    </row>
    <row r="58" ht="16.5" customHeight="1">
      <c r="A58" s="15">
        <v>56.0</v>
      </c>
      <c r="B58" s="24" t="s">
        <v>87</v>
      </c>
      <c r="C58" s="31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9">
        <f t="shared" si="1"/>
        <v>0</v>
      </c>
      <c r="AD58" s="20" t="str">
        <f t="shared" si="2"/>
        <v>#DIV/0!</v>
      </c>
    </row>
    <row r="59" ht="16.5" customHeight="1">
      <c r="A59" s="15">
        <v>57.0</v>
      </c>
      <c r="B59" s="24" t="s">
        <v>88</v>
      </c>
      <c r="C59" s="31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9">
        <f t="shared" si="1"/>
        <v>0</v>
      </c>
      <c r="AD59" s="20" t="str">
        <f t="shared" si="2"/>
        <v>#DIV/0!</v>
      </c>
    </row>
    <row r="60" ht="16.5" customHeight="1">
      <c r="A60" s="15">
        <v>58.0</v>
      </c>
      <c r="B60" s="24" t="s">
        <v>89</v>
      </c>
      <c r="C60" s="31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9">
        <f t="shared" si="1"/>
        <v>0</v>
      </c>
      <c r="AD60" s="20" t="str">
        <f t="shared" si="2"/>
        <v>#DIV/0!</v>
      </c>
    </row>
    <row r="61" ht="16.5" customHeight="1">
      <c r="A61" s="15">
        <v>59.0</v>
      </c>
      <c r="B61" s="24" t="s">
        <v>90</v>
      </c>
      <c r="C61" s="31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9">
        <f t="shared" si="1"/>
        <v>0</v>
      </c>
      <c r="AD61" s="20" t="str">
        <f t="shared" si="2"/>
        <v>#DIV/0!</v>
      </c>
    </row>
    <row r="62" ht="16.5" customHeight="1">
      <c r="A62" s="15">
        <v>60.0</v>
      </c>
      <c r="B62" s="24" t="s">
        <v>91</v>
      </c>
      <c r="C62" s="31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9">
        <f t="shared" si="1"/>
        <v>0</v>
      </c>
      <c r="AD62" s="20" t="str">
        <f t="shared" si="2"/>
        <v>#DIV/0!</v>
      </c>
    </row>
    <row r="63" ht="16.5" customHeight="1">
      <c r="A63" s="15">
        <v>61.0</v>
      </c>
      <c r="B63" s="24" t="s">
        <v>92</v>
      </c>
      <c r="C63" s="31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9">
        <f t="shared" si="1"/>
        <v>0</v>
      </c>
      <c r="AD63" s="20" t="str">
        <f t="shared" si="2"/>
        <v>#DIV/0!</v>
      </c>
    </row>
    <row r="64" ht="16.5" customHeight="1">
      <c r="A64" s="15">
        <v>62.0</v>
      </c>
      <c r="B64" s="24" t="s">
        <v>93</v>
      </c>
      <c r="C64" s="31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9">
        <f t="shared" si="1"/>
        <v>0</v>
      </c>
      <c r="AD64" s="20" t="str">
        <f t="shared" si="2"/>
        <v>#DIV/0!</v>
      </c>
    </row>
    <row r="65" ht="16.5" customHeight="1">
      <c r="A65" s="15">
        <v>63.0</v>
      </c>
      <c r="B65" s="32" t="s">
        <v>94</v>
      </c>
      <c r="C65" s="31"/>
      <c r="D65" s="18"/>
      <c r="E65" s="33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9">
        <f t="shared" si="1"/>
        <v>0</v>
      </c>
      <c r="AD65" s="20" t="str">
        <f t="shared" si="2"/>
        <v>#DIV/0!</v>
      </c>
    </row>
    <row r="66" ht="16.5" customHeight="1">
      <c r="A66" s="15">
        <v>64.0</v>
      </c>
      <c r="B66" s="32" t="s">
        <v>95</v>
      </c>
      <c r="C66" s="31"/>
      <c r="D66" s="18"/>
      <c r="E66" s="33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9">
        <f t="shared" si="1"/>
        <v>0</v>
      </c>
      <c r="AD66" s="20" t="str">
        <f t="shared" si="2"/>
        <v>#DIV/0!</v>
      </c>
    </row>
    <row r="67" ht="16.5" customHeight="1">
      <c r="A67" s="15">
        <v>65.0</v>
      </c>
      <c r="B67" s="32" t="s">
        <v>96</v>
      </c>
      <c r="C67" s="31"/>
      <c r="D67" s="18"/>
      <c r="E67" s="33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9">
        <f t="shared" si="1"/>
        <v>0</v>
      </c>
      <c r="AD67" s="20" t="str">
        <f t="shared" si="2"/>
        <v>#DIV/0!</v>
      </c>
    </row>
    <row r="68" ht="16.5" customHeight="1">
      <c r="A68" s="15">
        <v>66.0</v>
      </c>
      <c r="B68" s="32" t="s">
        <v>97</v>
      </c>
      <c r="C68" s="31"/>
      <c r="D68" s="18"/>
      <c r="E68" s="33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9">
        <f t="shared" si="1"/>
        <v>0</v>
      </c>
      <c r="AD68" s="20" t="str">
        <f t="shared" si="2"/>
        <v>#DIV/0!</v>
      </c>
    </row>
    <row r="69" ht="16.5" customHeight="1">
      <c r="A69" s="15">
        <v>67.0</v>
      </c>
      <c r="B69" s="32" t="s">
        <v>98</v>
      </c>
      <c r="C69" s="31"/>
      <c r="D69" s="18"/>
      <c r="E69" s="33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9">
        <f t="shared" si="1"/>
        <v>0</v>
      </c>
      <c r="AD69" s="20" t="str">
        <f t="shared" si="2"/>
        <v>#DIV/0!</v>
      </c>
    </row>
    <row r="70" ht="16.5" customHeight="1">
      <c r="A70" s="15">
        <v>68.0</v>
      </c>
      <c r="B70" s="32" t="s">
        <v>99</v>
      </c>
      <c r="C70" s="31"/>
      <c r="D70" s="18"/>
      <c r="E70" s="33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9">
        <f t="shared" si="1"/>
        <v>0</v>
      </c>
      <c r="AD70" s="20" t="str">
        <f t="shared" si="2"/>
        <v>#DIV/0!</v>
      </c>
    </row>
    <row r="71" ht="16.5" customHeight="1">
      <c r="A71" s="15">
        <v>69.0</v>
      </c>
      <c r="B71" s="32" t="s">
        <v>100</v>
      </c>
      <c r="C71" s="34"/>
      <c r="D71" s="18"/>
      <c r="E71" s="33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9">
        <f t="shared" si="1"/>
        <v>0</v>
      </c>
      <c r="AD71" s="20" t="str">
        <f t="shared" si="2"/>
        <v>#DIV/0!</v>
      </c>
    </row>
    <row r="72" ht="16.5" customHeight="1">
      <c r="A72" s="15">
        <v>70.0</v>
      </c>
      <c r="B72" s="35" t="s">
        <v>101</v>
      </c>
      <c r="C72" s="36"/>
      <c r="D72" s="18"/>
      <c r="E72" s="33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9">
        <f t="shared" si="1"/>
        <v>0</v>
      </c>
      <c r="AD72" s="20" t="str">
        <f t="shared" si="2"/>
        <v>#DIV/0!</v>
      </c>
    </row>
    <row r="73" ht="16.5" customHeight="1">
      <c r="A73" s="15">
        <v>71.0</v>
      </c>
      <c r="B73" s="35" t="s">
        <v>102</v>
      </c>
      <c r="C73" s="36"/>
      <c r="D73" s="18"/>
      <c r="E73" s="33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9">
        <f t="shared" si="1"/>
        <v>0</v>
      </c>
      <c r="AD73" s="20" t="str">
        <f t="shared" si="2"/>
        <v>#DIV/0!</v>
      </c>
    </row>
    <row r="74" ht="16.5" customHeight="1">
      <c r="A74" s="15">
        <v>72.0</v>
      </c>
      <c r="B74" s="35" t="s">
        <v>103</v>
      </c>
      <c r="C74" s="36"/>
      <c r="D74" s="18"/>
      <c r="E74" s="33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9">
        <f t="shared" si="1"/>
        <v>0</v>
      </c>
      <c r="AD74" s="20" t="str">
        <f t="shared" si="2"/>
        <v>#DIV/0!</v>
      </c>
    </row>
    <row r="75" ht="15.75" customHeight="1">
      <c r="A75" s="37" t="s">
        <v>104</v>
      </c>
      <c r="B75" s="38"/>
      <c r="C75" s="39"/>
      <c r="D75" s="40"/>
      <c r="E75" s="41">
        <f t="shared" ref="E75:AB75" si="3">sum(E3:E74)</f>
        <v>0</v>
      </c>
      <c r="F75" s="41">
        <f t="shared" si="3"/>
        <v>0</v>
      </c>
      <c r="G75" s="41">
        <f t="shared" si="3"/>
        <v>0</v>
      </c>
      <c r="H75" s="41">
        <f t="shared" si="3"/>
        <v>0</v>
      </c>
      <c r="I75" s="41">
        <f t="shared" si="3"/>
        <v>0</v>
      </c>
      <c r="J75" s="41">
        <f t="shared" si="3"/>
        <v>0</v>
      </c>
      <c r="K75" s="41">
        <f t="shared" si="3"/>
        <v>0</v>
      </c>
      <c r="L75" s="41">
        <f t="shared" si="3"/>
        <v>0</v>
      </c>
      <c r="M75" s="41">
        <f t="shared" si="3"/>
        <v>0</v>
      </c>
      <c r="N75" s="41">
        <f t="shared" si="3"/>
        <v>0</v>
      </c>
      <c r="O75" s="41">
        <f t="shared" si="3"/>
        <v>0</v>
      </c>
      <c r="P75" s="41">
        <f t="shared" si="3"/>
        <v>0</v>
      </c>
      <c r="Q75" s="41">
        <f t="shared" si="3"/>
        <v>0</v>
      </c>
      <c r="R75" s="41">
        <f t="shared" si="3"/>
        <v>0</v>
      </c>
      <c r="S75" s="41">
        <f t="shared" si="3"/>
        <v>0</v>
      </c>
      <c r="T75" s="41">
        <f t="shared" si="3"/>
        <v>0</v>
      </c>
      <c r="U75" s="41">
        <f t="shared" si="3"/>
        <v>0</v>
      </c>
      <c r="V75" s="41">
        <f t="shared" si="3"/>
        <v>0</v>
      </c>
      <c r="W75" s="41">
        <f t="shared" si="3"/>
        <v>0</v>
      </c>
      <c r="X75" s="41">
        <f t="shared" si="3"/>
        <v>0</v>
      </c>
      <c r="Y75" s="41">
        <f t="shared" si="3"/>
        <v>0</v>
      </c>
      <c r="Z75" s="41">
        <f t="shared" si="3"/>
        <v>0</v>
      </c>
      <c r="AA75" s="41">
        <f t="shared" si="3"/>
        <v>0</v>
      </c>
      <c r="AB75" s="41">
        <f t="shared" si="3"/>
        <v>0</v>
      </c>
      <c r="AC75" s="3" t="s">
        <v>105</v>
      </c>
      <c r="AD75" s="12" t="s">
        <v>106</v>
      </c>
    </row>
    <row r="76" ht="15.75" customHeight="1">
      <c r="A76" s="42"/>
      <c r="B76" s="43"/>
      <c r="C76" s="44"/>
      <c r="D76" s="40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45">
        <f>sum(AC3:AC74)</f>
        <v>0</v>
      </c>
      <c r="AD76" s="45" t="str">
        <f>SUM(AD3:AD74)</f>
        <v>#DIV/0!</v>
      </c>
    </row>
    <row r="77" ht="15.75" customHeight="1">
      <c r="A77" s="46" t="s">
        <v>107</v>
      </c>
      <c r="B77" s="5"/>
      <c r="C77" s="6"/>
      <c r="D77" s="47"/>
      <c r="E77" s="48"/>
      <c r="F77" s="5"/>
      <c r="G77" s="6"/>
      <c r="H77" s="47"/>
      <c r="I77" s="48"/>
      <c r="J77" s="5"/>
      <c r="K77" s="6"/>
      <c r="L77" s="48"/>
      <c r="M77" s="5"/>
      <c r="N77" s="6"/>
      <c r="O77" s="48"/>
      <c r="P77" s="5"/>
      <c r="Q77" s="6"/>
      <c r="R77" s="47"/>
      <c r="S77" s="48"/>
      <c r="T77" s="5"/>
      <c r="U77" s="6"/>
      <c r="V77" s="48"/>
      <c r="W77" s="5"/>
      <c r="X77" s="6"/>
      <c r="Y77" s="47"/>
      <c r="Z77" s="48"/>
      <c r="AA77" s="5"/>
      <c r="AB77" s="6"/>
      <c r="AC77" s="49"/>
      <c r="AD77" s="49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ht="15.75" customHeight="1">
      <c r="A79" s="51" t="s">
        <v>108</v>
      </c>
      <c r="B79" s="44"/>
      <c r="C79" s="52">
        <v>12139.0</v>
      </c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ht="15.75" customHeight="1">
      <c r="A80" s="54" t="s">
        <v>109</v>
      </c>
      <c r="B80" s="6"/>
      <c r="C80" s="55">
        <v>300.0</v>
      </c>
      <c r="D80" s="53"/>
      <c r="E80" s="53"/>
      <c r="F80" s="56" t="s">
        <v>110</v>
      </c>
      <c r="G80" s="57"/>
      <c r="H80" s="58"/>
      <c r="I80" s="38"/>
      <c r="J80" s="38"/>
      <c r="K80" s="39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ht="15.75" customHeight="1">
      <c r="A81" s="54" t="s">
        <v>111</v>
      </c>
      <c r="B81" s="6"/>
      <c r="C81" s="55">
        <v>200.0</v>
      </c>
      <c r="D81" s="53"/>
      <c r="E81" s="53"/>
      <c r="F81" s="59"/>
      <c r="G81" s="57"/>
      <c r="H81" s="42"/>
      <c r="I81" s="43"/>
      <c r="J81" s="43"/>
      <c r="K81" s="44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ht="15.75" customHeight="1">
      <c r="A82" s="54" t="s">
        <v>112</v>
      </c>
      <c r="B82" s="6"/>
      <c r="C82" s="55">
        <f>30%*C79</f>
        <v>3641.7</v>
      </c>
      <c r="D82" s="53"/>
      <c r="E82" s="53"/>
      <c r="F82" s="59"/>
      <c r="G82" s="57"/>
      <c r="H82" s="58"/>
      <c r="I82" s="38"/>
      <c r="J82" s="38"/>
      <c r="K82" s="39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ht="15.75" customHeight="1">
      <c r="A83" s="54" t="s">
        <v>113</v>
      </c>
      <c r="B83" s="6"/>
      <c r="C83" s="55">
        <f>C79-C80-C81-C82</f>
        <v>7997.3</v>
      </c>
      <c r="D83" s="53"/>
      <c r="E83" s="53"/>
      <c r="F83" s="59"/>
      <c r="G83" s="57"/>
      <c r="H83" s="42"/>
      <c r="I83" s="43"/>
      <c r="J83" s="43"/>
      <c r="K83" s="44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ht="15.75" customHeight="1">
      <c r="A84" s="54" t="s">
        <v>114</v>
      </c>
      <c r="B84" s="6"/>
      <c r="C84" s="55">
        <f>SUM(AC3:AC74)</f>
        <v>0</v>
      </c>
      <c r="D84" s="53"/>
      <c r="E84" s="53"/>
      <c r="F84" s="59"/>
      <c r="G84" s="57"/>
      <c r="H84" s="58"/>
      <c r="I84" s="38"/>
      <c r="J84" s="38"/>
      <c r="K84" s="39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ht="15.75" customHeight="1">
      <c r="A85" s="54" t="s">
        <v>115</v>
      </c>
      <c r="B85" s="6"/>
      <c r="C85" s="60" t="str">
        <f>IF(C83&gt;0,C83/C84,0)</f>
        <v>#DIV/0!</v>
      </c>
      <c r="D85" s="53"/>
      <c r="E85" s="53"/>
      <c r="F85" s="14"/>
      <c r="G85" s="57"/>
      <c r="H85" s="42"/>
      <c r="I85" s="43"/>
      <c r="J85" s="43"/>
      <c r="K85" s="44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ht="15.75" customHeight="1">
      <c r="A117" s="61" t="s">
        <v>116</v>
      </c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  <row r="139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</row>
    <row r="14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</row>
    <row r="141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</row>
    <row r="142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</row>
    <row r="143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</row>
    <row r="144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</row>
    <row r="145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</row>
    <row r="14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</row>
    <row r="147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</row>
    <row r="148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</row>
    <row r="149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</row>
    <row r="15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</row>
    <row r="151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</row>
    <row r="152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</row>
    <row r="153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</row>
    <row r="154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</row>
    <row r="155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</row>
    <row r="15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</row>
    <row r="157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</row>
    <row r="158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</row>
    <row r="159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</row>
    <row r="16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</row>
    <row r="161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</row>
    <row r="162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</row>
    <row r="163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</row>
    <row r="164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</row>
    <row r="165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</row>
    <row r="16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</row>
    <row r="167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</row>
    <row r="168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</row>
    <row r="169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</row>
    <row r="1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</row>
    <row r="171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</row>
    <row r="172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</row>
    <row r="173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</row>
    <row r="174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</row>
    <row r="175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</row>
    <row r="17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</row>
    <row r="177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</row>
    <row r="178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</row>
    <row r="179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</row>
    <row r="18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</row>
    <row r="181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</row>
    <row r="182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</row>
    <row r="183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</row>
    <row r="184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</row>
    <row r="185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</row>
    <row r="18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</row>
    <row r="187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</row>
    <row r="188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</row>
    <row r="189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</row>
    <row r="19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</row>
    <row r="191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</row>
    <row r="192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</row>
    <row r="193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</row>
    <row r="194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</row>
    <row r="195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</row>
    <row r="19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</row>
    <row r="197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</row>
    <row r="198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</row>
    <row r="199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</row>
    <row r="20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</row>
    <row r="201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</row>
    <row r="202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</row>
    <row r="203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</row>
    <row r="204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</row>
    <row r="205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</row>
    <row r="20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</row>
    <row r="207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</row>
    <row r="208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</row>
    <row r="209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</row>
    <row r="21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</row>
    <row r="211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</row>
    <row r="212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</row>
    <row r="213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</row>
    <row r="214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</row>
    <row r="215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</row>
    <row r="21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</row>
    <row r="217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</row>
    <row r="218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</row>
    <row r="219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</row>
    <row r="22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</row>
    <row r="221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</row>
    <row r="222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</row>
    <row r="223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</row>
    <row r="224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</row>
    <row r="225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</row>
    <row r="2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</row>
    <row r="227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</row>
    <row r="228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</row>
    <row r="229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</row>
    <row r="23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</row>
    <row r="231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</row>
    <row r="232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</row>
    <row r="233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</row>
    <row r="234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</row>
    <row r="235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</row>
    <row r="23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</row>
    <row r="237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</row>
    <row r="238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</row>
    <row r="239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</row>
    <row r="24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</row>
    <row r="241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</row>
    <row r="242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</row>
    <row r="243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</row>
    <row r="244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</row>
    <row r="245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</row>
    <row r="24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</row>
    <row r="247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</row>
    <row r="248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</row>
    <row r="249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</row>
    <row r="25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</row>
    <row r="251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</row>
    <row r="2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</row>
    <row r="253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</row>
    <row r="254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</row>
    <row r="255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</row>
    <row r="25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</row>
    <row r="257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</row>
    <row r="258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</row>
    <row r="259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</row>
    <row r="26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</row>
    <row r="261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</row>
    <row r="26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</row>
    <row r="263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</row>
    <row r="264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</row>
    <row r="265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</row>
    <row r="26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</row>
    <row r="267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</row>
    <row r="268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</row>
    <row r="269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</row>
    <row r="270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</row>
    <row r="271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</row>
    <row r="27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</row>
    <row r="273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</row>
    <row r="274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</row>
    <row r="275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</row>
    <row r="27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</row>
    <row r="277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</row>
    <row r="278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</row>
    <row r="279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</row>
    <row r="280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</row>
    <row r="281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</row>
    <row r="28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</row>
    <row r="283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</row>
    <row r="284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</row>
    <row r="285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</row>
    <row r="28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</row>
    <row r="287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</row>
    <row r="288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</row>
    <row r="289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</row>
    <row r="290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</row>
    <row r="291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</row>
    <row r="29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</row>
    <row r="293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</row>
    <row r="294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</row>
    <row r="295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</row>
    <row r="29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</row>
    <row r="297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</row>
    <row r="298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</row>
    <row r="299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</row>
    <row r="300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</row>
    <row r="301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</row>
    <row r="30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</row>
    <row r="303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</row>
    <row r="304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</row>
    <row r="305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</row>
    <row r="30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</row>
    <row r="307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</row>
    <row r="308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</row>
    <row r="309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</row>
    <row r="310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</row>
    <row r="311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</row>
    <row r="31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</row>
    <row r="313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</row>
    <row r="314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</row>
    <row r="315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</row>
    <row r="31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</row>
    <row r="317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I1:K1"/>
    <mergeCell ref="L1:N1"/>
    <mergeCell ref="O1:R1"/>
    <mergeCell ref="S1:U1"/>
    <mergeCell ref="V1:Y1"/>
    <mergeCell ref="Z1:AB1"/>
    <mergeCell ref="AD1:AD2"/>
    <mergeCell ref="J75:J76"/>
    <mergeCell ref="K75:K76"/>
    <mergeCell ref="L75:L76"/>
    <mergeCell ref="M75:M76"/>
    <mergeCell ref="N75:N76"/>
    <mergeCell ref="O75:O76"/>
    <mergeCell ref="P75:P76"/>
    <mergeCell ref="X75:X76"/>
    <mergeCell ref="Y75:Y76"/>
    <mergeCell ref="Z75:Z76"/>
    <mergeCell ref="AA75:AA76"/>
    <mergeCell ref="AB75:AB76"/>
    <mergeCell ref="Q75:Q76"/>
    <mergeCell ref="R75:R76"/>
    <mergeCell ref="S75:S76"/>
    <mergeCell ref="T75:T76"/>
    <mergeCell ref="U75:U76"/>
    <mergeCell ref="V75:V76"/>
    <mergeCell ref="W75:W76"/>
    <mergeCell ref="E77:G77"/>
    <mergeCell ref="I77:K77"/>
    <mergeCell ref="L77:N77"/>
    <mergeCell ref="O77:Q77"/>
    <mergeCell ref="S77:U77"/>
    <mergeCell ref="V77:X77"/>
    <mergeCell ref="Z77:AB77"/>
    <mergeCell ref="A77:C77"/>
    <mergeCell ref="E1:G1"/>
    <mergeCell ref="E75:E76"/>
    <mergeCell ref="F75:F76"/>
    <mergeCell ref="G75:G76"/>
    <mergeCell ref="H75:H76"/>
    <mergeCell ref="I75:I76"/>
    <mergeCell ref="A75:C76"/>
    <mergeCell ref="A79:B79"/>
    <mergeCell ref="A80:B80"/>
    <mergeCell ref="A81:B81"/>
    <mergeCell ref="A83:B83"/>
    <mergeCell ref="A84:B84"/>
    <mergeCell ref="A82:B82"/>
    <mergeCell ref="F80:F85"/>
    <mergeCell ref="H80:K81"/>
    <mergeCell ref="H82:K83"/>
    <mergeCell ref="H84:K85"/>
    <mergeCell ref="A85:B85"/>
  </mergeCells>
  <drawing r:id="rId1"/>
  <tableParts count="1">
    <tablePart r:id="rId3"/>
  </tableParts>
</worksheet>
</file>